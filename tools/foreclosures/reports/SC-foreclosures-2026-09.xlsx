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ses" sheetId="2" state="visible" r:id="rId2"/>
    <sheet xmlns:r="http://schemas.openxmlformats.org/officeDocument/2006/relationships" name="Sale calendar" sheetId="3" state="visible" r:id="rId3"/>
    <sheet xmlns:r="http://schemas.openxmlformats.org/officeDocument/2006/relationships" name="Read me" sheetId="4" state="visible" r:id="rId4"/>
  </sheets>
  <definedNames>
    <definedName name="_xlnm._FilterDatabase" localSheetId="1" hidden="1">'All cases'!$A$1:$AC$123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$#,##0.00;($#,##0.00);-"/>
    <numFmt numFmtId="167" formatCode="$#,##0;($#,##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7" fontId="2" fillId="0" borderId="0" pivotButton="0" quotePrefix="0" xfId="0"/>
    <xf numFmtId="0" fontId="6" fillId="0" borderId="0" pivotButton="0" quotePrefix="0" xfId="0"/>
    <xf numFmtId="167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ie.greenvillejournal.com/advert/2016-cp-23-06737/" TargetMode="External" Id="rId1"/><Relationship Type="http://schemas.openxmlformats.org/officeDocument/2006/relationships/hyperlink" Target="https://www2.greenvillecounty.org/scjd/PublicIndex/CaseDetails.aspx?County=23&amp;CourtAgency=23002&amp;Casenum=2024CP2303628&amp;CaseType=V" TargetMode="External" Id="rId2"/><Relationship Type="http://schemas.openxmlformats.org/officeDocument/2006/relationships/hyperlink" Target="https://mie.greenvillejournal.com/advert/2024-cp-23-03628/" TargetMode="External" Id="rId3"/><Relationship Type="http://schemas.openxmlformats.org/officeDocument/2006/relationships/hyperlink" Target="https://www.greenvillecounty.org/appsAS400/RealProperty/Details.aspx?MapNumber=P008000100203&amp;TaxYear=2026" TargetMode="External" Id="rId4"/><Relationship Type="http://schemas.openxmlformats.org/officeDocument/2006/relationships/hyperlink" Target="https://www2.greenvillecounty.org/scjd/PublicIndex/CaseDetails.aspx?County=23&amp;CourtAgency=23002&amp;Casenum=2024CP2307423&amp;CaseType=V" TargetMode="External" Id="rId5"/><Relationship Type="http://schemas.openxmlformats.org/officeDocument/2006/relationships/hyperlink" Target="https://mie.greenvillejournal.com/advert/2024-cp-23-07423/" TargetMode="External" Id="rId6"/><Relationship Type="http://schemas.openxmlformats.org/officeDocument/2006/relationships/hyperlink" Target="https://www.greenvillecounty.org/appsAS400/RealProperty/Details.aspx?MapNumber=0297020103200&amp;TaxYear=2026" TargetMode="External" Id="rId7"/><Relationship Type="http://schemas.openxmlformats.org/officeDocument/2006/relationships/hyperlink" Target="https://www2.greenvillecounty.org/scjd/PublicIndex/CaseDetails.aspx?County=23&amp;CourtAgency=23002&amp;Casenum=2025CP2303722&amp;CaseType=V" TargetMode="External" Id="rId8"/><Relationship Type="http://schemas.openxmlformats.org/officeDocument/2006/relationships/hyperlink" Target="https://mie.greenvillejournal.com/advert/2025-cp-23-03722/" TargetMode="External" Id="rId9"/><Relationship Type="http://schemas.openxmlformats.org/officeDocument/2006/relationships/hyperlink" Target="https://www.greenvillecounty.org/appsAS400/RealProperty/Details.aspx?MapNumber=0074000800300&amp;TaxYear=2026" TargetMode="External" Id="rId10"/><Relationship Type="http://schemas.openxmlformats.org/officeDocument/2006/relationships/hyperlink" Target="https://www2.greenvillecounty.org/scjd/PublicIndex/CaseDetails.aspx?County=23&amp;CourtAgency=23002&amp;Casenum=2025CP2305048&amp;CaseType=V" TargetMode="External" Id="rId11"/><Relationship Type="http://schemas.openxmlformats.org/officeDocument/2006/relationships/hyperlink" Target="https://mie.greenvillejournal.com/advert/2025-cp-23-05048/" TargetMode="External" Id="rId12"/><Relationship Type="http://schemas.openxmlformats.org/officeDocument/2006/relationships/hyperlink" Target="https://www.greenvillecounty.org/appsAS400/RealProperty/Details.aspx?MapNumber=0583050100200&amp;TaxYear=2026" TargetMode="External" Id="rId13"/><Relationship Type="http://schemas.openxmlformats.org/officeDocument/2006/relationships/hyperlink" Target="https://mie.greenvillejournal.com/advert/2025-cp-23-06065/" TargetMode="External" Id="rId14"/><Relationship Type="http://schemas.openxmlformats.org/officeDocument/2006/relationships/hyperlink" Target="https://mie.greenvillejournal.com/advert/2025-cp-23-06198/" TargetMode="External" Id="rId15"/><Relationship Type="http://schemas.openxmlformats.org/officeDocument/2006/relationships/hyperlink" Target="https://www2.greenvillecounty.org/scjd/PublicIndex/CaseDetails.aspx?County=23&amp;CourtAgency=23002&amp;Casenum=2025CP2306584&amp;CaseType=V" TargetMode="External" Id="rId16"/><Relationship Type="http://schemas.openxmlformats.org/officeDocument/2006/relationships/hyperlink" Target="https://mie.greenvillejournal.com/advert/2025-cp-23-06584/" TargetMode="External" Id="rId17"/><Relationship Type="http://schemas.openxmlformats.org/officeDocument/2006/relationships/hyperlink" Target="https://www.greenvillecounty.org/appsAS400/RealProperty/Details.aspx?MapNumber=M006020103410&amp;TaxYear=2026" TargetMode="External" Id="rId18"/><Relationship Type="http://schemas.openxmlformats.org/officeDocument/2006/relationships/hyperlink" Target="https://www2.greenvillecounty.org/scjd/PublicIndex/CaseDetails.aspx?County=23&amp;CourtAgency=23002&amp;Casenum=2025CP2306604&amp;CaseType=V" TargetMode="External" Id="rId19"/><Relationship Type="http://schemas.openxmlformats.org/officeDocument/2006/relationships/hyperlink" Target="https://mie.greenvillejournal.com/advert/2025-cp-23-06604/" TargetMode="External" Id="rId20"/><Relationship Type="http://schemas.openxmlformats.org/officeDocument/2006/relationships/hyperlink" Target="https://www.greenvillecounty.org/appsAS400/RealProperty/Details.aspx?MapNumber=0562090100400&amp;TaxYear=2026" TargetMode="External" Id="rId21"/><Relationship Type="http://schemas.openxmlformats.org/officeDocument/2006/relationships/hyperlink" Target="https://www2.greenvillecounty.org/scjd/PublicIndex/CaseDetails.aspx?County=23&amp;CourtAgency=23002&amp;Casenum=2025CP2306612&amp;CaseType=V" TargetMode="External" Id="rId22"/><Relationship Type="http://schemas.openxmlformats.org/officeDocument/2006/relationships/hyperlink" Target="https://mie.greenvillejournal.com/advert/2025-cp-23-06612/" TargetMode="External" Id="rId23"/><Relationship Type="http://schemas.openxmlformats.org/officeDocument/2006/relationships/hyperlink" Target="https://www.greenvillecounty.org/appsAS400/RealProperty/Details.aspx?MapNumber=0602040113200&amp;TaxYear=2026" TargetMode="External" Id="rId24"/><Relationship Type="http://schemas.openxmlformats.org/officeDocument/2006/relationships/hyperlink" Target="https://www2.greenvillecounty.org/scjd/PublicIndex/CaseDetails.aspx?County=23&amp;CourtAgency=23002&amp;Casenum=2025CP2307189&amp;CaseType=V" TargetMode="External" Id="rId25"/><Relationship Type="http://schemas.openxmlformats.org/officeDocument/2006/relationships/hyperlink" Target="https://mie.greenvillejournal.com/advert/2025-cp-23-07189/" TargetMode="External" Id="rId26"/><Relationship Type="http://schemas.openxmlformats.org/officeDocument/2006/relationships/hyperlink" Target="https://www2.greenvillecounty.org/scjd/PublicIndex/CaseDetails.aspx?County=23&amp;CourtAgency=23002&amp;Casenum=2025CP2307612&amp;CaseType=V" TargetMode="External" Id="rId27"/><Relationship Type="http://schemas.openxmlformats.org/officeDocument/2006/relationships/hyperlink" Target="https://mie.greenvillejournal.com/advert/2025-cp-23-07612/" TargetMode="External" Id="rId28"/><Relationship Type="http://schemas.openxmlformats.org/officeDocument/2006/relationships/hyperlink" Target="https://www.greenvillecounty.org/appsAS400/RealProperty/Details.aspx?MapNumber=0574190106700&amp;TaxYear=2026" TargetMode="External" Id="rId29"/><Relationship Type="http://schemas.openxmlformats.org/officeDocument/2006/relationships/hyperlink" Target="https://mie.greenvillejournal.com/advert/2025-cp-23-07667/" TargetMode="External" Id="rId30"/><Relationship Type="http://schemas.openxmlformats.org/officeDocument/2006/relationships/hyperlink" Target="https://mie.greenvillejournal.com/advert/2025-cp-23-08344/" TargetMode="External" Id="rId31"/><Relationship Type="http://schemas.openxmlformats.org/officeDocument/2006/relationships/hyperlink" Target="https://www.greenvillecounty.org/appsAS400/RealProperty/Details.aspx?MapNumber=0631080101509&amp;TaxYear=2026" TargetMode="External" Id="rId32"/><Relationship Type="http://schemas.openxmlformats.org/officeDocument/2006/relationships/hyperlink" Target="https://mie.greenvillejournal.com/advert/2025-cp-23-08409/" TargetMode="External" Id="rId33"/><Relationship Type="http://schemas.openxmlformats.org/officeDocument/2006/relationships/hyperlink" Target="https://www2.greenvillecounty.org/scjd/PublicIndex/CaseDetails.aspx?County=23&amp;CourtAgency=23002&amp;Casenum=2026CP2300155&amp;CaseType=V" TargetMode="External" Id="rId34"/><Relationship Type="http://schemas.openxmlformats.org/officeDocument/2006/relationships/hyperlink" Target="https://mie.greenvillejournal.com/advert/2026-cp-23-00155/" TargetMode="External" Id="rId35"/><Relationship Type="http://schemas.openxmlformats.org/officeDocument/2006/relationships/hyperlink" Target="https://www.greenvillecounty.org/appsAS400/RealProperty/Details.aspx?MapNumber=T027010119200&amp;TaxYear=2026" TargetMode="External" Id="rId36"/><Relationship Type="http://schemas.openxmlformats.org/officeDocument/2006/relationships/hyperlink" Target="https://mie.greenvillejournal.com/advert/2026-cp-23-00195/" TargetMode="External" Id="rId37"/><Relationship Type="http://schemas.openxmlformats.org/officeDocument/2006/relationships/hyperlink" Target="https://www2.greenvillecounty.org/scjd/PublicIndex/CaseDetails.aspx?County=23&amp;CourtAgency=23002&amp;Casenum=2026CP2300512&amp;CaseType=V" TargetMode="External" Id="rId38"/><Relationship Type="http://schemas.openxmlformats.org/officeDocument/2006/relationships/hyperlink" Target="https://mie.greenvillejournal.com/advert/2026-cp-23-00512/" TargetMode="External" Id="rId39"/><Relationship Type="http://schemas.openxmlformats.org/officeDocument/2006/relationships/hyperlink" Target="https://www.greenvillecounty.org/appsAS400/RealProperty/Details.aspx?MapNumber=0535010201100&amp;TaxYear=2026" TargetMode="External" Id="rId40"/><Relationship Type="http://schemas.openxmlformats.org/officeDocument/2006/relationships/hyperlink" Target="https://mie.greenvillejournal.com/advert/2026-cp-23-00555/" TargetMode="External" Id="rId41"/><Relationship Type="http://schemas.openxmlformats.org/officeDocument/2006/relationships/hyperlink" Target="https://www2.greenvillecounty.org/scjd/PublicIndex/CaseDetails.aspx?County=23&amp;CourtAgency=23002&amp;Casenum=2026CP2300730&amp;CaseType=V" TargetMode="External" Id="rId42"/><Relationship Type="http://schemas.openxmlformats.org/officeDocument/2006/relationships/hyperlink" Target="https://mie.greenvillejournal.com/advert/2026-cp-23-00730/" TargetMode="External" Id="rId43"/><Relationship Type="http://schemas.openxmlformats.org/officeDocument/2006/relationships/hyperlink" Target="https://www.greenvillecounty.org/appsAS400/RealProperty/Details.aspx?MapNumber=0074000100300&amp;TaxYear=2026" TargetMode="External" Id="rId44"/><Relationship Type="http://schemas.openxmlformats.org/officeDocument/2006/relationships/hyperlink" Target="https://mie.greenvillejournal.com/advert/2026-cp-23-01255/" TargetMode="External" Id="rId45"/><Relationship Type="http://schemas.openxmlformats.org/officeDocument/2006/relationships/hyperlink" Target="https://mie.greenvillejournal.com/advert/2026-cp-23-01348/" TargetMode="External" Id="rId46"/><Relationship Type="http://schemas.openxmlformats.org/officeDocument/2006/relationships/hyperlink" Target="https://www2.greenvillecounty.org/scjd/PublicIndex/CaseDetails.aspx?County=23&amp;CourtAgency=23002&amp;Casenum=2026CP2301483&amp;CaseType=V" TargetMode="External" Id="rId47"/><Relationship Type="http://schemas.openxmlformats.org/officeDocument/2006/relationships/hyperlink" Target="https://mie.greenvillejournal.com/advert/2026-cp-23-01483/" TargetMode="External" Id="rId48"/><Relationship Type="http://schemas.openxmlformats.org/officeDocument/2006/relationships/hyperlink" Target="https://www.greenvillecounty.org/appsAS400/RealProperty/Details.aspx?MapNumber=B008070106900&amp;TaxYear=2026" TargetMode="External" Id="rId49"/><Relationship Type="http://schemas.openxmlformats.org/officeDocument/2006/relationships/hyperlink" Target="https://www2.greenvillecounty.org/scjd/PublicIndex/CaseDetails.aspx?County=23&amp;CourtAgency=23002&amp;Casenum=2026CP2302327&amp;CaseType=V" TargetMode="External" Id="rId50"/><Relationship Type="http://schemas.openxmlformats.org/officeDocument/2006/relationships/hyperlink" Target="https://mie.greenvillejournal.com/advert/2026-cp-23-02327/" TargetMode="External" Id="rId51"/><Relationship Type="http://schemas.openxmlformats.org/officeDocument/2006/relationships/hyperlink" Target="https://www.greenvillecounty.org/appsAS400/RealProperty/Details.aspx?MapNumber=0117001000800&amp;TaxYear=2026" TargetMode="External" Id="rId52"/><Relationship Type="http://schemas.openxmlformats.org/officeDocument/2006/relationships/hyperlink" Target="https://www2.greenvillecounty.org/scjd/PublicIndex/CaseDetails.aspx?County=23&amp;CourtAgency=23002&amp;Casenum=2026CP2302343&amp;CaseType=V" TargetMode="External" Id="rId53"/><Relationship Type="http://schemas.openxmlformats.org/officeDocument/2006/relationships/hyperlink" Target="https://mie.greenvillejournal.com/advert/2026-cp-23-02343/" TargetMode="External" Id="rId54"/><Relationship Type="http://schemas.openxmlformats.org/officeDocument/2006/relationships/hyperlink" Target="https://www.greenvillecounty.org/appsAS400/RealProperty/Details.aspx?MapNumber=0118000600400&amp;TaxYear=2026" TargetMode="External" Id="rId55"/><Relationship Type="http://schemas.openxmlformats.org/officeDocument/2006/relationships/hyperlink" Target="https://www2.greenvillecounty.org/scjd/PublicIndex/CaseDetails.aspx?County=23&amp;CourtAgency=23002&amp;Casenum=2026CP2302408&amp;CaseType=V" TargetMode="External" Id="rId56"/><Relationship Type="http://schemas.openxmlformats.org/officeDocument/2006/relationships/hyperlink" Target="https://mie.greenvillejournal.com/advert/2026-cp-23-02408/" TargetMode="External" Id="rId57"/><Relationship Type="http://schemas.openxmlformats.org/officeDocument/2006/relationships/hyperlink" Target="https://www.greenvillecounty.org/appsAS400/RealProperty/Details.aspx?MapNumber=T029010104900&amp;TaxYear=2026" TargetMode="External" Id="rId58"/><Relationship Type="http://schemas.openxmlformats.org/officeDocument/2006/relationships/hyperlink" Target="https://www2.greenvillecounty.org/scjd/PublicIndex/CaseDetails.aspx?County=23&amp;CourtAgency=23002&amp;Casenum=2026CP2302884&amp;CaseType=V" TargetMode="External" Id="rId59"/><Relationship Type="http://schemas.openxmlformats.org/officeDocument/2006/relationships/hyperlink" Target="https://mie.greenvillejournal.com/advert/2026-cp-23-02884/" TargetMode="External" Id="rId60"/><Relationship Type="http://schemas.openxmlformats.org/officeDocument/2006/relationships/hyperlink" Target="https://www.greenvillecounty.org/appsAS400/RealProperty/Details.aspx?MapNumber=0439000501100&amp;TaxYear=2026" TargetMode="External" Id="rId61"/><Relationship Type="http://schemas.openxmlformats.org/officeDocument/2006/relationships/hyperlink" Target="https://www2.greenvillecounty.org/scjd/PublicIndex/CaseDetails.aspx?County=23&amp;CourtAgency=23002&amp;Casenum=2026CP2303000&amp;CaseType=V" TargetMode="External" Id="rId62"/><Relationship Type="http://schemas.openxmlformats.org/officeDocument/2006/relationships/hyperlink" Target="https://mie.greenvillejournal.com/advert/2026-cp-23-03000/" TargetMode="External" Id="rId63"/><Relationship Type="http://schemas.openxmlformats.org/officeDocument/2006/relationships/hyperlink" Target="https://www.greenvillecounty.org/appsAS400/RealProperty/Details.aspx?MapNumber=0509070101900&amp;TaxYear=2026" TargetMode="External" Id="rId64"/><Relationship Type="http://schemas.openxmlformats.org/officeDocument/2006/relationships/hyperlink" Target="https://mie.greenvillejournal.com/advert/2026-cp-23-03232/" TargetMode="External" Id="rId65"/><Relationship Type="http://schemas.openxmlformats.org/officeDocument/2006/relationships/hyperlink" Target="https://www.horrycountysc.gov/departments/master-in-equity/principal-sales/" TargetMode="External" Id="rId66"/><Relationship Type="http://schemas.openxmlformats.org/officeDocument/2006/relationships/hyperlink" Target="https://www.horrycountysc.gov/departments/master-in-equity/principal-sales/" TargetMode="External" Id="rId67"/><Relationship Type="http://schemas.openxmlformats.org/officeDocument/2006/relationships/hyperlink" Target="https://www.horrycountysc.gov/departments/master-in-equity/principal-sales/" TargetMode="External" Id="rId68"/><Relationship Type="http://schemas.openxmlformats.org/officeDocument/2006/relationships/hyperlink" Target="https://www.horrycountysc.gov/departments/master-in-equity/principal-sales/" TargetMode="External" Id="rId69"/><Relationship Type="http://schemas.openxmlformats.org/officeDocument/2006/relationships/hyperlink" Target="https://www.horrycountysc.gov/departments/master-in-equity/principal-sales/" TargetMode="External" Id="rId70"/><Relationship Type="http://schemas.openxmlformats.org/officeDocument/2006/relationships/hyperlink" Target="https://www.horrycountysc.gov/departments/master-in-equity/principal-sales/" TargetMode="External" Id="rId71"/><Relationship Type="http://schemas.openxmlformats.org/officeDocument/2006/relationships/hyperlink" Target="https://www.horrycountysc.gov/departments/master-in-equity/principal-sales/" TargetMode="External" Id="rId72"/><Relationship Type="http://schemas.openxmlformats.org/officeDocument/2006/relationships/hyperlink" Target="https://www.horrycountysc.gov/departments/master-in-equity/principal-sales/" TargetMode="External" Id="rId73"/><Relationship Type="http://schemas.openxmlformats.org/officeDocument/2006/relationships/hyperlink" Target="https://www.horrycountysc.gov/departments/master-in-equity/principal-sales/" TargetMode="External" Id="rId74"/><Relationship Type="http://schemas.openxmlformats.org/officeDocument/2006/relationships/hyperlink" Target="https://www.horrycountysc.gov/departments/master-in-equity/principal-sales/" TargetMode="External" Id="rId75"/><Relationship Type="http://schemas.openxmlformats.org/officeDocument/2006/relationships/hyperlink" Target="https://www.horrycountysc.gov/departments/master-in-equity/principal-sales/" TargetMode="External" Id="rId76"/><Relationship Type="http://schemas.openxmlformats.org/officeDocument/2006/relationships/hyperlink" Target="https://www.horrycountysc.gov/departments/master-in-equity/principal-sales/" TargetMode="External" Id="rId77"/><Relationship Type="http://schemas.openxmlformats.org/officeDocument/2006/relationships/hyperlink" Target="https://www.horrycountysc.gov/departments/master-in-equity/principal-sales/" TargetMode="External" Id="rId78"/><Relationship Type="http://schemas.openxmlformats.org/officeDocument/2006/relationships/hyperlink" Target="https://www.horrycountysc.gov/departments/master-in-equity/principal-sales/" TargetMode="External" Id="rId79"/><Relationship Type="http://schemas.openxmlformats.org/officeDocument/2006/relationships/hyperlink" Target="https://www.horrycountysc.gov/departments/master-in-equity/principal-sales/" TargetMode="External" Id="rId80"/><Relationship Type="http://schemas.openxmlformats.org/officeDocument/2006/relationships/hyperlink" Target="https://www.horrycountysc.gov/departments/master-in-equity/principal-sales/" TargetMode="External" Id="rId81"/><Relationship Type="http://schemas.openxmlformats.org/officeDocument/2006/relationships/hyperlink" Target="https://www.horrycountysc.gov/departments/master-in-equity/principal-sales/" TargetMode="External" Id="rId82"/><Relationship Type="http://schemas.openxmlformats.org/officeDocument/2006/relationships/hyperlink" Target="https://www.horrycountysc.gov/departments/master-in-equity/principal-sales/" TargetMode="External" Id="rId83"/><Relationship Type="http://schemas.openxmlformats.org/officeDocument/2006/relationships/hyperlink" Target="https://www.horrycountysc.gov/departments/master-in-equity/principal-sales/" TargetMode="External" Id="rId84"/><Relationship Type="http://schemas.openxmlformats.org/officeDocument/2006/relationships/hyperlink" Target="https://www.horrycountysc.gov/departments/master-in-equity/principal-sales/" TargetMode="External" Id="rId85"/><Relationship Type="http://schemas.openxmlformats.org/officeDocument/2006/relationships/hyperlink" Target="https://www.horrycountysc.gov/departments/master-in-equity/principal-sales/" TargetMode="External" Id="rId86"/><Relationship Type="http://schemas.openxmlformats.org/officeDocument/2006/relationships/hyperlink" Target="https://www.horrycountysc.gov/departments/master-in-equity/principal-sales/" TargetMode="External" Id="rId87"/><Relationship Type="http://schemas.openxmlformats.org/officeDocument/2006/relationships/hyperlink" Target="https://www.horrycountysc.gov/departments/master-in-equity/principal-sales/" TargetMode="External" Id="rId88"/><Relationship Type="http://schemas.openxmlformats.org/officeDocument/2006/relationships/hyperlink" Target="https://www.horrycountysc.gov/departments/master-in-equity/principal-sales/" TargetMode="External" Id="rId89"/><Relationship Type="http://schemas.openxmlformats.org/officeDocument/2006/relationships/hyperlink" Target="https://www.horrycountysc.gov/departments/master-in-equity/principal-sales/" TargetMode="External" Id="rId90"/><Relationship Type="http://schemas.openxmlformats.org/officeDocument/2006/relationships/hyperlink" Target="https://www.horrycountysc.gov/departments/master-in-equity/principal-sales/" TargetMode="External" Id="rId91"/><Relationship Type="http://schemas.openxmlformats.org/officeDocument/2006/relationships/hyperlink" Target="https://www.horrycountysc.gov/departments/master-in-equity/principal-sales/" TargetMode="External" Id="rId92"/><Relationship Type="http://schemas.openxmlformats.org/officeDocument/2006/relationships/hyperlink" Target="https://www.horrycountysc.gov/departments/master-in-equity/principal-sales/" TargetMode="External" Id="rId93"/><Relationship Type="http://schemas.openxmlformats.org/officeDocument/2006/relationships/hyperlink" Target="https://www.horrycountysc.gov/departments/master-in-equity/principal-sales/" TargetMode="External" Id="rId94"/><Relationship Type="http://schemas.openxmlformats.org/officeDocument/2006/relationships/hyperlink" Target="https://www.horrycountysc.gov/departments/master-in-equity/principal-sales/" TargetMode="External" Id="rId95"/><Relationship Type="http://schemas.openxmlformats.org/officeDocument/2006/relationships/hyperlink" Target="https://www.horrycountysc.gov/departments/master-in-equity/principal-sales/" TargetMode="External" Id="rId96"/><Relationship Type="http://schemas.openxmlformats.org/officeDocument/2006/relationships/hyperlink" Target="https://www.horrycountysc.gov/departments/master-in-equity/principal-sales/" TargetMode="External" Id="rId97"/><Relationship Type="http://schemas.openxmlformats.org/officeDocument/2006/relationships/hyperlink" Target="https://www.horrycountysc.gov/departments/master-in-equity/principal-sales/" TargetMode="External" Id="rId98"/><Relationship Type="http://schemas.openxmlformats.org/officeDocument/2006/relationships/hyperlink" Target="https://www.horrycountysc.gov/departments/master-in-equity/principal-sales/" TargetMode="External" Id="rId99"/><Relationship Type="http://schemas.openxmlformats.org/officeDocument/2006/relationships/hyperlink" Target="https://www.horrycountysc.gov/departments/master-in-equity/principal-sales/" TargetMode="External" Id="rId100"/><Relationship Type="http://schemas.openxmlformats.org/officeDocument/2006/relationships/hyperlink" Target="https://www.horrycountysc.gov/departments/master-in-equity/principal-sales/" TargetMode="External" Id="rId101"/><Relationship Type="http://schemas.openxmlformats.org/officeDocument/2006/relationships/hyperlink" Target="https://www.horrycountysc.gov/departments/master-in-equity/principal-sales/" TargetMode="External" Id="rId102"/><Relationship Type="http://schemas.openxmlformats.org/officeDocument/2006/relationships/hyperlink" Target="https://www.horrycountysc.gov/departments/master-in-equity/principal-sales/" TargetMode="External" Id="rId103"/><Relationship Type="http://schemas.openxmlformats.org/officeDocument/2006/relationships/hyperlink" Target="https://www.horrycountysc.gov/departments/master-in-equity/principal-sales/" TargetMode="External" Id="rId104"/><Relationship Type="http://schemas.openxmlformats.org/officeDocument/2006/relationships/hyperlink" Target="https://www.spartanweeklyonline.com/legal-notices/142-birkdale-drive-spartanburg-sc-29306" TargetMode="External" Id="rId105"/><Relationship Type="http://schemas.openxmlformats.org/officeDocument/2006/relationships/hyperlink" Target="https://www.spartanweeklyonline.com/legal-notices/1172-maryland-avenue-spartanburg-sc-29307" TargetMode="External" Id="rId106"/><Relationship Type="http://schemas.openxmlformats.org/officeDocument/2006/relationships/hyperlink" Target="https://www.spartanweeklyonline.com/legal-notices/1269-kilead-court-boiling-springs-sc-29316" TargetMode="External" Id="rId107"/><Relationship Type="http://schemas.openxmlformats.org/officeDocument/2006/relationships/hyperlink" Target="https://www.spartanweeklyonline.com/legal-notices/62-woodwind-drive-spartanburg-sc-29302" TargetMode="External" Id="rId108"/><Relationship Type="http://schemas.openxmlformats.org/officeDocument/2006/relationships/hyperlink" Target="https://www.spartanweeklyonline.com/legal-notices/109-nevada-street-spartanburg-sc-29306" TargetMode="External" Id="rId109"/><Relationship Type="http://schemas.openxmlformats.org/officeDocument/2006/relationships/hyperlink" Target="https://www.spartanweeklyonline.com/legal-notices/353-honor-road-duncan-sc-29334" TargetMode="External" Id="rId110"/><Relationship Type="http://schemas.openxmlformats.org/officeDocument/2006/relationships/hyperlink" Target="https://www.spartanweeklyonline.com/legal-notices/155-nesbitt-road-wellford-sc-29385" TargetMode="External" Id="rId111"/><Relationship Type="http://schemas.openxmlformats.org/officeDocument/2006/relationships/hyperlink" Target="https://www.spartanweeklyonline.com/legal-notices/591-stagecoach-road-pauline-sc-29374" TargetMode="External" Id="rId112"/><Relationship Type="http://schemas.openxmlformats.org/officeDocument/2006/relationships/hyperlink" Target="https://www.spartanweeklyonline.com/legal-notices/102-sparrow-ct-boiling-springs-sc-29316" TargetMode="External" Id="rId113"/><Relationship Type="http://schemas.openxmlformats.org/officeDocument/2006/relationships/hyperlink" Target="https://www.spartanweeklyonline.com/legal-notices/251-longmont-drive-boiling-springs-sc-29316" TargetMode="External" Id="rId114"/><Relationship Type="http://schemas.openxmlformats.org/officeDocument/2006/relationships/hyperlink" Target="https://www.spartanweeklyonline.com/legal-notices/111-goodlett-st-pacolet-sc-29372" TargetMode="External" Id="rId115"/><Relationship Type="http://schemas.openxmlformats.org/officeDocument/2006/relationships/hyperlink" Target="https://www.spartanweeklyonline.com/legal-notices/1032-longstone-way-spartanburg-sc-29306" TargetMode="External" Id="rId116"/><Relationship Type="http://schemas.openxmlformats.org/officeDocument/2006/relationships/hyperlink" Target="https://www.spartanweeklyonline.com/legal-notices/4456-duparc-way-spartanburg-sc-29307" TargetMode="External" Id="rId117"/><Relationship Type="http://schemas.openxmlformats.org/officeDocument/2006/relationships/hyperlink" Target="https://www.spartanweeklyonline.com/legal-notices/686-california-avenue-spartanburg-sc-29303" TargetMode="External" Id="rId118"/><Relationship Type="http://schemas.openxmlformats.org/officeDocument/2006/relationships/hyperlink" Target="https://www.spartanweeklyonline.com/legal-notices/143-woodhaven-drive-spartanburg-sc-29307" TargetMode="External" Id="rId119"/><Relationship Type="http://schemas.openxmlformats.org/officeDocument/2006/relationships/hyperlink" Target="https://www.spartanweeklyonline.com/legal-notices/324-courson-court-boiling-springs-south-carolina-29316" TargetMode="External" Id="rId120"/><Relationship Type="http://schemas.openxmlformats.org/officeDocument/2006/relationships/hyperlink" Target="https://www.spartanweeklyonline.com/legal-notices/179-briarcliff-road-spartanburg-sc-29301-1257" TargetMode="External" Id="rId121"/><Relationship Type="http://schemas.openxmlformats.org/officeDocument/2006/relationships/hyperlink" Target="https://www.spartanweeklyonline.com/legal-notices/111-whitener-avenue-spartanburg-sc-29306" TargetMode="External" Id="rId122"/><Relationship Type="http://schemas.openxmlformats.org/officeDocument/2006/relationships/hyperlink" Target="https://www.spartanweeklyonline.com/legal-notices/116-carolyn-drive-spartanburg-sc-29306" TargetMode="External" Id="rId123"/><Relationship Type="http://schemas.openxmlformats.org/officeDocument/2006/relationships/hyperlink" Target="https://www.spartanweeklyonline.com/legal-notices/112-mt-lebanon-road-pauline-sc-29374" TargetMode="External" Id="rId124"/><Relationship Type="http://schemas.openxmlformats.org/officeDocument/2006/relationships/hyperlink" Target="https://www.spartanweeklyonline.com/legal-notices/229-cherokee-circle-spartanburg-sc-29307" TargetMode="External" Id="rId125"/><Relationship Type="http://schemas.openxmlformats.org/officeDocument/2006/relationships/hyperlink" Target="https://www.spartanweeklyonline.com/legal-notices/225-rexford-drive-moore-sc-29369" TargetMode="External" Id="rId126"/><Relationship Type="http://schemas.openxmlformats.org/officeDocument/2006/relationships/hyperlink" Target="https://www.spartanweeklyonline.com/legal-notices/135-knollwood-drive-spartanburg-sc-29301" TargetMode="External" Id="rId127"/><Relationship Type="http://schemas.openxmlformats.org/officeDocument/2006/relationships/hyperlink" Target="https://www.spartanweeklyonline.com/legal-notices/481-hammett-store-road-lyman-sc-29365" TargetMode="External" Id="rId128"/><Relationship Type="http://schemas.openxmlformats.org/officeDocument/2006/relationships/hyperlink" Target="https://www.spartanweeklyonline.com/legal-notices/157-carver-street-wellford-sc-29385" TargetMode="External" Id="rId129"/><Relationship Type="http://schemas.openxmlformats.org/officeDocument/2006/relationships/hyperlink" Target="https://www.spartanweeklyonline.com/legal-notices/472-sloan-street-spartanburg-sc-29303" TargetMode="External" Id="rId130"/><Relationship Type="http://schemas.openxmlformats.org/officeDocument/2006/relationships/hyperlink" Target="https://www.spartanweeklyonline.com/legal-notices/729-grace-valley-road-inman-sc-29349" TargetMode="External" Id="rId131"/><Relationship Type="http://schemas.openxmlformats.org/officeDocument/2006/relationships/hyperlink" Target="https://www.spartanweeklyonline.com/legal-notices/135-summit-ridge-drive-boiling-springs-sc-29316" TargetMode="External" Id="rId132"/><Relationship Type="http://schemas.openxmlformats.org/officeDocument/2006/relationships/hyperlink" Target="https://www.spartanweeklyonline.com/legal-notices/2130-east-blackstock-road-roebuck-sc-29376-1277" TargetMode="External" Id="rId133"/><Relationship Type="http://schemas.openxmlformats.org/officeDocument/2006/relationships/hyperlink" Target="https://www.spartanweeklyonline.com/legal-notices/427-bollweevil-way-wellford-sc-29385" TargetMode="External" Id="rId134"/><Relationship Type="http://schemas.openxmlformats.org/officeDocument/2006/relationships/hyperlink" Target="https://www.spartanweeklyonline.com/legal-notices/7207-heirloom-lane-inman-sc-29349" TargetMode="External" Id="rId135"/><Relationship Type="http://schemas.openxmlformats.org/officeDocument/2006/relationships/hyperlink" Target="https://www.charlestoncounty.org/foreclosure/runninglist.html" TargetMode="External" Id="rId136"/><Relationship Type="http://schemas.openxmlformats.org/officeDocument/2006/relationships/hyperlink" Target="https://www.charlestoncounty.org/foreclosure/runninglist.html" TargetMode="External" Id="rId137"/><Relationship Type="http://schemas.openxmlformats.org/officeDocument/2006/relationships/hyperlink" Target="https://www.charlestoncounty.org/foreclosure/runninglist.html" TargetMode="External" Id="rId138"/><Relationship Type="http://schemas.openxmlformats.org/officeDocument/2006/relationships/hyperlink" Target="https://www.charlestoncounty.org/foreclosure/runninglist.html" TargetMode="External" Id="rId139"/><Relationship Type="http://schemas.openxmlformats.org/officeDocument/2006/relationships/hyperlink" Target="https://www.charlestoncounty.org/foreclosure/runninglist.html" TargetMode="External" Id="rId140"/><Relationship Type="http://schemas.openxmlformats.org/officeDocument/2006/relationships/hyperlink" Target="https://www.charlestoncounty.org/foreclosure/runninglist.html" TargetMode="External" Id="rId141"/><Relationship Type="http://schemas.openxmlformats.org/officeDocument/2006/relationships/hyperlink" Target="https://www.charlestoncounty.org/foreclosure/runninglist.html" TargetMode="External" Id="rId142"/><Relationship Type="http://schemas.openxmlformats.org/officeDocument/2006/relationships/hyperlink" Target="https://www.charlestoncounty.org/foreclosure/runninglist.html" TargetMode="External" Id="rId143"/><Relationship Type="http://schemas.openxmlformats.org/officeDocument/2006/relationships/hyperlink" Target="https://www.charlestoncounty.org/foreclosure/runninglist.html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0" customWidth="1" min="9" max="9"/>
  </cols>
  <sheetData>
    <row r="1">
      <c r="A1" s="1" t="inlineStr">
        <is>
          <t>Master-in-Equity sales — summary</t>
        </is>
      </c>
    </row>
    <row r="2">
      <c r="A2" s="2" t="inlineStr">
        <is>
          <t>All figures are formulas over the "All cases" sheet; re-run the crawler and paste new rows there.</t>
        </is>
      </c>
    </row>
    <row r="4">
      <c r="A4" s="3" t="inlineStr">
        <is>
          <t>County</t>
        </is>
      </c>
      <c r="B4" s="3" t="inlineStr">
        <is>
          <t>Cases</t>
        </is>
      </c>
      <c r="C4" s="3" t="inlineStr">
        <is>
          <t>Scheduled</t>
        </is>
      </c>
      <c r="D4" s="3" t="inlineStr">
        <is>
          <t>Cancelled / withdrawn</t>
        </is>
      </c>
      <c r="E4" s="3" t="inlineStr">
        <is>
          <t>Deficiency demanded</t>
        </is>
      </c>
      <c r="F4" s="3" t="inlineStr">
        <is>
          <t>Deficiency waived</t>
        </is>
      </c>
      <c r="G4" s="3" t="inlineStr">
        <is>
          <t>With judgment $</t>
        </is>
      </c>
      <c r="H4" s="3" t="inlineStr">
        <is>
          <t>Total judgment $ (scheduled)</t>
        </is>
      </c>
      <c r="I4" s="3" t="inlineStr">
        <is>
          <t>With FMV</t>
        </is>
      </c>
    </row>
    <row r="5">
      <c r="A5" s="4" t="inlineStr">
        <is>
          <t>Charleston</t>
        </is>
      </c>
      <c r="B5" s="4">
        <f>COUNTIF('All cases'!$A:$A,A5)</f>
        <v/>
      </c>
      <c r="C5" s="4">
        <f>COUNTIFS('All cases'!$A:$A,A5,'All cases'!$E:$E,"scheduled")</f>
        <v/>
      </c>
      <c r="D5" s="4">
        <f>B5-C5</f>
        <v/>
      </c>
      <c r="E5" s="4">
        <f>COUNTIFS('All cases'!$A:$A,A5,'All cases'!$J:$J,"demanded")</f>
        <v/>
      </c>
      <c r="F5" s="4">
        <f>COUNTIFS('All cases'!$A:$A,A5,'All cases'!$J:$J,"waived")</f>
        <v/>
      </c>
      <c r="G5" s="4">
        <f>COUNTIFS('All cases'!$A:$A,A5,'All cases'!$K:$K,"&gt;0")</f>
        <v/>
      </c>
      <c r="H5" s="5">
        <f>SUMIFS('All cases'!$K:$K,'All cases'!$A:$A,A5,'All cases'!$E:$E,"scheduled")</f>
        <v/>
      </c>
      <c r="I5" s="4">
        <f>COUNTIFS('All cases'!$A:$A,A5,'All cases'!$Q:$Q,"&gt;0")</f>
        <v/>
      </c>
    </row>
    <row r="6">
      <c r="A6" s="4" t="inlineStr">
        <is>
          <t>Georgetown</t>
        </is>
      </c>
      <c r="B6" s="4">
        <f>COUNTIF('All cases'!$A:$A,A6)</f>
        <v/>
      </c>
      <c r="C6" s="4">
        <f>COUNTIFS('All cases'!$A:$A,A6,'All cases'!$E:$E,"scheduled")</f>
        <v/>
      </c>
      <c r="D6" s="4">
        <f>B6-C6</f>
        <v/>
      </c>
      <c r="E6" s="4">
        <f>COUNTIFS('All cases'!$A:$A,A6,'All cases'!$J:$J,"demanded")</f>
        <v/>
      </c>
      <c r="F6" s="4">
        <f>COUNTIFS('All cases'!$A:$A,A6,'All cases'!$J:$J,"waived")</f>
        <v/>
      </c>
      <c r="G6" s="4">
        <f>COUNTIFS('All cases'!$A:$A,A6,'All cases'!$K:$K,"&gt;0")</f>
        <v/>
      </c>
      <c r="H6" s="5">
        <f>SUMIFS('All cases'!$K:$K,'All cases'!$A:$A,A6,'All cases'!$E:$E,"scheduled")</f>
        <v/>
      </c>
      <c r="I6" s="4">
        <f>COUNTIFS('All cases'!$A:$A,A6,'All cases'!$Q:$Q,"&gt;0")</f>
        <v/>
      </c>
    </row>
    <row r="7">
      <c r="A7" s="4" t="inlineStr">
        <is>
          <t>Greenville</t>
        </is>
      </c>
      <c r="B7" s="4">
        <f>COUNTIF('All cases'!$A:$A,A7)</f>
        <v/>
      </c>
      <c r="C7" s="4">
        <f>COUNTIFS('All cases'!$A:$A,A7,'All cases'!$E:$E,"scheduled")</f>
        <v/>
      </c>
      <c r="D7" s="4">
        <f>B7-C7</f>
        <v/>
      </c>
      <c r="E7" s="4">
        <f>COUNTIFS('All cases'!$A:$A,A7,'All cases'!$J:$J,"demanded")</f>
        <v/>
      </c>
      <c r="F7" s="4">
        <f>COUNTIFS('All cases'!$A:$A,A7,'All cases'!$J:$J,"waived")</f>
        <v/>
      </c>
      <c r="G7" s="4">
        <f>COUNTIFS('All cases'!$A:$A,A7,'All cases'!$K:$K,"&gt;0")</f>
        <v/>
      </c>
      <c r="H7" s="5">
        <f>SUMIFS('All cases'!$K:$K,'All cases'!$A:$A,A7,'All cases'!$E:$E,"scheduled")</f>
        <v/>
      </c>
      <c r="I7" s="4">
        <f>COUNTIFS('All cases'!$A:$A,A7,'All cases'!$Q:$Q,"&gt;0")</f>
        <v/>
      </c>
    </row>
    <row r="8">
      <c r="A8" s="4" t="inlineStr">
        <is>
          <t>Horry</t>
        </is>
      </c>
      <c r="B8" s="4">
        <f>COUNTIF('All cases'!$A:$A,A8)</f>
        <v/>
      </c>
      <c r="C8" s="4">
        <f>COUNTIFS('All cases'!$A:$A,A8,'All cases'!$E:$E,"scheduled")</f>
        <v/>
      </c>
      <c r="D8" s="4">
        <f>B8-C8</f>
        <v/>
      </c>
      <c r="E8" s="4">
        <f>COUNTIFS('All cases'!$A:$A,A8,'All cases'!$J:$J,"demanded")</f>
        <v/>
      </c>
      <c r="F8" s="4">
        <f>COUNTIFS('All cases'!$A:$A,A8,'All cases'!$J:$J,"waived")</f>
        <v/>
      </c>
      <c r="G8" s="4">
        <f>COUNTIFS('All cases'!$A:$A,A8,'All cases'!$K:$K,"&gt;0")</f>
        <v/>
      </c>
      <c r="H8" s="5">
        <f>SUMIFS('All cases'!$K:$K,'All cases'!$A:$A,A8,'All cases'!$E:$E,"scheduled")</f>
        <v/>
      </c>
      <c r="I8" s="4">
        <f>COUNTIFS('All cases'!$A:$A,A8,'All cases'!$Q:$Q,"&gt;0")</f>
        <v/>
      </c>
    </row>
    <row r="9">
      <c r="A9" s="4" t="inlineStr">
        <is>
          <t>Pickens</t>
        </is>
      </c>
      <c r="B9" s="4">
        <f>COUNTIF('All cases'!$A:$A,A9)</f>
        <v/>
      </c>
      <c r="C9" s="4">
        <f>COUNTIFS('All cases'!$A:$A,A9,'All cases'!$E:$E,"scheduled")</f>
        <v/>
      </c>
      <c r="D9" s="4">
        <f>B9-C9</f>
        <v/>
      </c>
      <c r="E9" s="4">
        <f>COUNTIFS('All cases'!$A:$A,A9,'All cases'!$J:$J,"demanded")</f>
        <v/>
      </c>
      <c r="F9" s="4">
        <f>COUNTIFS('All cases'!$A:$A,A9,'All cases'!$J:$J,"waived")</f>
        <v/>
      </c>
      <c r="G9" s="4">
        <f>COUNTIFS('All cases'!$A:$A,A9,'All cases'!$K:$K,"&gt;0")</f>
        <v/>
      </c>
      <c r="H9" s="5">
        <f>SUMIFS('All cases'!$K:$K,'All cases'!$A:$A,A9,'All cases'!$E:$E,"scheduled")</f>
        <v/>
      </c>
      <c r="I9" s="4">
        <f>COUNTIFS('All cases'!$A:$A,A9,'All cases'!$Q:$Q,"&gt;0")</f>
        <v/>
      </c>
    </row>
    <row r="10">
      <c r="A10" s="4" t="inlineStr">
        <is>
          <t>Spartanburg</t>
        </is>
      </c>
      <c r="B10" s="4">
        <f>COUNTIF('All cases'!$A:$A,A10)</f>
        <v/>
      </c>
      <c r="C10" s="4">
        <f>COUNTIFS('All cases'!$A:$A,A10,'All cases'!$E:$E,"scheduled")</f>
        <v/>
      </c>
      <c r="D10" s="4">
        <f>B10-C10</f>
        <v/>
      </c>
      <c r="E10" s="4">
        <f>COUNTIFS('All cases'!$A:$A,A10,'All cases'!$J:$J,"demanded")</f>
        <v/>
      </c>
      <c r="F10" s="4">
        <f>COUNTIFS('All cases'!$A:$A,A10,'All cases'!$J:$J,"waived")</f>
        <v/>
      </c>
      <c r="G10" s="4">
        <f>COUNTIFS('All cases'!$A:$A,A10,'All cases'!$K:$K,"&gt;0")</f>
        <v/>
      </c>
      <c r="H10" s="5">
        <f>SUMIFS('All cases'!$K:$K,'All cases'!$A:$A,A10,'All cases'!$E:$E,"scheduled")</f>
        <v/>
      </c>
      <c r="I10" s="4">
        <f>COUNTIFS('All cases'!$A:$A,A10,'All cases'!$Q:$Q,"&gt;0")</f>
        <v/>
      </c>
    </row>
    <row r="11">
      <c r="A11" s="6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7">
        <f>SUM(H5:H10)</f>
        <v/>
      </c>
      <c r="I11" s="6">
        <f>SUM(I5:I10)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7" customWidth="1" min="4" max="4"/>
    <col width="10" customWidth="1" min="5" max="5"/>
    <col width="34" customWidth="1" min="6" max="6"/>
    <col width="16" customWidth="1" min="7" max="7"/>
    <col width="30" customWidth="1" min="8" max="8"/>
    <col width="28" customWidth="1" min="9" max="9"/>
    <col width="11" customWidth="1" min="10" max="10"/>
    <col width="14" customWidth="1" min="11" max="11"/>
    <col width="11" customWidth="1" min="12" max="12"/>
    <col width="10" customWidth="1" min="13" max="13"/>
    <col width="7" customWidth="1" min="14" max="14"/>
    <col width="15" customWidth="1" min="15" max="15"/>
    <col width="9" customWidth="1" min="16" max="16"/>
    <col width="13" customWidth="1" min="17" max="17"/>
    <col width="9" customWidth="1" min="18" max="18"/>
    <col width="8" customWidth="1" min="19" max="19"/>
    <col width="18" customWidth="1" min="20" max="20"/>
    <col width="8" customWidth="1" min="21" max="21"/>
    <col width="8" customWidth="1" min="22" max="22"/>
    <col width="22" customWidth="1" min="23" max="23"/>
    <col width="18" customWidth="1" min="24" max="24"/>
    <col width="12" customWidth="1" min="25" max="25"/>
    <col width="12" customWidth="1" min="26" max="26"/>
    <col width="10" customWidth="1" min="27" max="27"/>
    <col width="12" customWidth="1" min="28" max="28"/>
    <col width="70" customWidth="1" min="29" max="29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#</t>
        </is>
      </c>
      <c r="D1" s="8" t="inlineStr">
        <is>
          <t>Case #</t>
        </is>
      </c>
      <c r="E1" s="8" t="inlineStr">
        <is>
          <t>Status</t>
        </is>
      </c>
      <c r="F1" s="8" t="inlineStr">
        <is>
          <t>Address</t>
        </is>
      </c>
      <c r="G1" s="8" t="inlineStr">
        <is>
          <t>TMS</t>
        </is>
      </c>
      <c r="H1" s="8" t="inlineStr">
        <is>
          <t>Plaintiff</t>
        </is>
      </c>
      <c r="I1" s="8" t="inlineStr">
        <is>
          <t>Defendant</t>
        </is>
      </c>
      <c r="J1" s="8" t="inlineStr">
        <is>
          <t>Deficiency</t>
        </is>
      </c>
      <c r="K1" s="8" t="inlineStr">
        <is>
          <t>Judgment $</t>
        </is>
      </c>
      <c r="L1" s="8" t="inlineStr">
        <is>
          <t>As of</t>
        </is>
      </c>
      <c r="M1" s="8" t="inlineStr">
        <is>
          <t>Per diem $</t>
        </is>
      </c>
      <c r="N1" s="8" t="inlineStr">
        <is>
          <t>Days to sale</t>
        </is>
      </c>
      <c r="O1" s="8" t="inlineStr">
        <is>
          <t>Est. owed sale day $</t>
        </is>
      </c>
      <c r="P1" s="8" t="inlineStr">
        <is>
          <t>Interest</t>
        </is>
      </c>
      <c r="Q1" s="8" t="inlineStr">
        <is>
          <t>County FMV $</t>
        </is>
      </c>
      <c r="R1" s="8" t="inlineStr">
        <is>
          <t>Debt ÷ FMV</t>
        </is>
      </c>
      <c r="S1" s="8" t="inlineStr">
        <is>
          <t>Acreage</t>
        </is>
      </c>
      <c r="T1" s="8" t="inlineStr">
        <is>
          <t>Land use / type</t>
        </is>
      </c>
      <c r="U1" s="8" t="inlineStr">
        <is>
          <t>Year built</t>
        </is>
      </c>
      <c r="V1" s="8" t="inlineStr">
        <is>
          <t>Sq ft</t>
        </is>
      </c>
      <c r="W1" s="8" t="inlineStr">
        <is>
          <t>Record owner</t>
        </is>
      </c>
      <c r="X1" s="8" t="inlineStr">
        <is>
          <t>Last sale</t>
        </is>
      </c>
      <c r="Y1" s="8" t="inlineStr">
        <is>
          <t>Order / judgment</t>
        </is>
      </c>
      <c r="Z1" s="8" t="inlineStr">
        <is>
          <t>Notice</t>
        </is>
      </c>
      <c r="AA1" s="8" t="inlineStr">
        <is>
          <t>Docket</t>
        </is>
      </c>
      <c r="AB1" s="8" t="inlineStr">
        <is>
          <t>Property card</t>
        </is>
      </c>
      <c r="AC1" s="8" t="inlineStr">
        <is>
          <t>Write-up</t>
        </is>
      </c>
    </row>
    <row r="2">
      <c r="A2" s="9" t="inlineStr">
        <is>
          <t>Georgetown</t>
        </is>
      </c>
      <c r="B2" s="10" t="n">
        <v>46273</v>
      </c>
      <c r="C2" s="9" t="n"/>
      <c r="D2" s="11" t="inlineStr">
        <is>
          <t>2026-CP-22-00295</t>
        </is>
      </c>
      <c r="E2" s="11" t="inlineStr">
        <is>
          <t>cancelled</t>
        </is>
      </c>
      <c r="F2" s="9" t="inlineStr">
        <is>
          <t>1105 Merriman Rd., Georgetown, SC</t>
        </is>
      </c>
      <c r="G2" s="11" t="inlineStr">
        <is>
          <t>05-0003-012-00-00</t>
        </is>
      </c>
      <c r="H2" s="9" t="inlineStr">
        <is>
          <t>U. S. Bank Trust Comp.</t>
        </is>
      </c>
      <c r="I2" s="9" t="inlineStr">
        <is>
          <t>Brownstone Prop.</t>
        </is>
      </c>
      <c r="J2" s="11" t="inlineStr">
        <is>
          <t>demanded</t>
        </is>
      </c>
      <c r="K2" s="12" t="n"/>
      <c r="L2" s="10" t="n"/>
      <c r="M2" s="12" t="n"/>
      <c r="N2" s="11">
        <f>IF(OR(B2="",L2=""),"",MAX(0,B2-L2))</f>
        <v/>
      </c>
      <c r="O2" s="12">
        <f>IF(K2="","",K2+IF(OR(M2="",N2=""),0,M2*N2))</f>
        <v/>
      </c>
      <c r="P2" s="11" t="n"/>
      <c r="Q2" s="12" t="n"/>
      <c r="R2" s="13">
        <f>IF(OR(Q2="",Q2=0,O2=""),"",O2/Q2)</f>
        <v/>
      </c>
      <c r="S2" s="11" t="n"/>
      <c r="T2" s="11" t="n"/>
      <c r="U2" s="11" t="n"/>
      <c r="V2" s="11" t="n"/>
      <c r="W2" s="11" t="n"/>
      <c r="X2" s="11" t="inlineStr"/>
      <c r="Y2" s="11" t="n"/>
      <c r="Z2" s="11" t="n"/>
      <c r="AA2" s="11" t="n"/>
      <c r="AB2" s="11" t="n"/>
      <c r="AC2" s="9" t="inlineStr">
        <is>
          <t>1105 Merriman Rd., Georgetown, SC. Judgment $ not pulled yet (needs the PC run). DEFICIENCY DEMANDED — open 30 days. STATUS: CANCELLED.</t>
        </is>
      </c>
    </row>
    <row r="3">
      <c r="A3" s="9" t="inlineStr">
        <is>
          <t>Georgetown</t>
        </is>
      </c>
      <c r="B3" s="10" t="n">
        <v>46273</v>
      </c>
      <c r="C3" s="9" t="n"/>
      <c r="D3" s="11" t="inlineStr">
        <is>
          <t>2025-CP-22-01076</t>
        </is>
      </c>
      <c r="E3" s="11" t="inlineStr">
        <is>
          <t>scheduled</t>
        </is>
      </c>
      <c r="F3" s="9" t="inlineStr">
        <is>
          <t>83 Polan Lane Georgetown, SC</t>
        </is>
      </c>
      <c r="G3" s="11" t="inlineStr">
        <is>
          <t>03-0439-025-01-00</t>
        </is>
      </c>
      <c r="H3" s="9" t="inlineStr">
        <is>
          <t>Howard and Howard</t>
        </is>
      </c>
      <c r="I3" s="9" t="inlineStr">
        <is>
          <t>Est. Bobbie Cuttino</t>
        </is>
      </c>
      <c r="J3" s="11" t="inlineStr">
        <is>
          <t>waived</t>
        </is>
      </c>
      <c r="K3" s="12" t="n"/>
      <c r="L3" s="10" t="n"/>
      <c r="M3" s="12" t="n"/>
      <c r="N3" s="11">
        <f>IF(OR(B3="",L3=""),"",MAX(0,B3-L3))</f>
        <v/>
      </c>
      <c r="O3" s="12">
        <f>IF(K3="","",K3+IF(OR(M3="",N3=""),0,M3*N3))</f>
        <v/>
      </c>
      <c r="P3" s="11" t="n"/>
      <c r="Q3" s="12" t="n"/>
      <c r="R3" s="13">
        <f>IF(OR(Q3="",Q3=0,O3=""),"",O3/Q3)</f>
        <v/>
      </c>
      <c r="S3" s="11" t="n"/>
      <c r="T3" s="11" t="n"/>
      <c r="U3" s="11" t="n"/>
      <c r="V3" s="11" t="n"/>
      <c r="W3" s="11" t="n"/>
      <c r="X3" s="11" t="inlineStr"/>
      <c r="Y3" s="11" t="n"/>
      <c r="Z3" s="11" t="n"/>
      <c r="AA3" s="11" t="n"/>
      <c r="AB3" s="11" t="n"/>
      <c r="AC3" s="9" t="inlineStr">
        <is>
          <t>83 Polan Lane Georgetown, SC. Judgment $ not pulled yet (needs the PC run). Deficiency waived — final on the day.</t>
        </is>
      </c>
    </row>
    <row r="4">
      <c r="A4" s="9" t="inlineStr">
        <is>
          <t>Georgetown</t>
        </is>
      </c>
      <c r="B4" s="10" t="n">
        <v>46273</v>
      </c>
      <c r="C4" s="9" t="n"/>
      <c r="D4" s="11" t="inlineStr">
        <is>
          <t>2026-CP-22-00122</t>
        </is>
      </c>
      <c r="E4" s="11" t="inlineStr">
        <is>
          <t>scheduled</t>
        </is>
      </c>
      <c r="F4" s="9" t="inlineStr">
        <is>
          <t>1832 Middleton St., Georgetown, SC</t>
        </is>
      </c>
      <c r="G4" s="11" t="inlineStr">
        <is>
          <t>02-0107-141-00-00</t>
        </is>
      </c>
      <c r="H4" s="9" t="inlineStr">
        <is>
          <t>SouthState Bank</t>
        </is>
      </c>
      <c r="I4" s="9" t="inlineStr">
        <is>
          <t>Roland Floyd</t>
        </is>
      </c>
      <c r="J4" s="11" t="inlineStr">
        <is>
          <t>waived</t>
        </is>
      </c>
      <c r="K4" s="12" t="n"/>
      <c r="L4" s="10" t="n"/>
      <c r="M4" s="12" t="n"/>
      <c r="N4" s="11">
        <f>IF(OR(B4="",L4=""),"",MAX(0,B4-L4))</f>
        <v/>
      </c>
      <c r="O4" s="12">
        <f>IF(K4="","",K4+IF(OR(M4="",N4=""),0,M4*N4))</f>
        <v/>
      </c>
      <c r="P4" s="11" t="n"/>
      <c r="Q4" s="12" t="n"/>
      <c r="R4" s="13">
        <f>IF(OR(Q4="",Q4=0,O4=""),"",O4/Q4)</f>
        <v/>
      </c>
      <c r="S4" s="11" t="n"/>
      <c r="T4" s="11" t="n"/>
      <c r="U4" s="11" t="n"/>
      <c r="V4" s="11" t="n"/>
      <c r="W4" s="11" t="n"/>
      <c r="X4" s="11" t="inlineStr"/>
      <c r="Y4" s="11" t="n"/>
      <c r="Z4" s="11" t="n"/>
      <c r="AA4" s="11" t="n"/>
      <c r="AB4" s="11" t="n"/>
      <c r="AC4" s="9" t="inlineStr">
        <is>
          <t>1832 Middleton St., Georgetown, SC. Judgment $ not pulled yet (needs the PC run). Deficiency waived — final on the day.</t>
        </is>
      </c>
    </row>
    <row r="5">
      <c r="A5" s="9" t="inlineStr">
        <is>
          <t>Georgetown</t>
        </is>
      </c>
      <c r="B5" s="10" t="n">
        <v>46273</v>
      </c>
      <c r="C5" s="9" t="n"/>
      <c r="D5" s="11" t="inlineStr">
        <is>
          <t>2025-CP-22-01043</t>
        </is>
      </c>
      <c r="E5" s="11" t="inlineStr">
        <is>
          <t>cancelled</t>
        </is>
      </c>
      <c r="F5" s="9" t="inlineStr">
        <is>
          <t>147 Rubin Av., Georgetown, SC</t>
        </is>
      </c>
      <c r="G5" s="11" t="inlineStr">
        <is>
          <t>02-0203-039-00-00</t>
        </is>
      </c>
      <c r="H5" s="9" t="inlineStr">
        <is>
          <t>Nationstar Mortgage</t>
        </is>
      </c>
      <c r="I5" s="9" t="inlineStr">
        <is>
          <t>David J. Smith</t>
        </is>
      </c>
      <c r="J5" s="11" t="inlineStr">
        <is>
          <t>waived</t>
        </is>
      </c>
      <c r="K5" s="12" t="n"/>
      <c r="L5" s="10" t="n"/>
      <c r="M5" s="12" t="n"/>
      <c r="N5" s="11">
        <f>IF(OR(B5="",L5=""),"",MAX(0,B5-L5))</f>
        <v/>
      </c>
      <c r="O5" s="12">
        <f>IF(K5="","",K5+IF(OR(M5="",N5=""),0,M5*N5))</f>
        <v/>
      </c>
      <c r="P5" s="11" t="n"/>
      <c r="Q5" s="12" t="n"/>
      <c r="R5" s="13">
        <f>IF(OR(Q5="",Q5=0,O5=""),"",O5/Q5)</f>
        <v/>
      </c>
      <c r="S5" s="11" t="n"/>
      <c r="T5" s="11" t="n"/>
      <c r="U5" s="11" t="n"/>
      <c r="V5" s="11" t="n"/>
      <c r="W5" s="11" t="n"/>
      <c r="X5" s="11" t="inlineStr"/>
      <c r="Y5" s="11" t="n"/>
      <c r="Z5" s="11" t="n"/>
      <c r="AA5" s="11" t="n"/>
      <c r="AB5" s="11" t="n"/>
      <c r="AC5" s="9" t="inlineStr">
        <is>
          <t>147 Rubin Av., Georgetown, SC. Judgment $ not pulled yet (needs the PC run). Deficiency waived — final on the day. STATUS: CANCELLED.</t>
        </is>
      </c>
    </row>
    <row r="6">
      <c r="A6" s="9" t="inlineStr">
        <is>
          <t>Georgetown</t>
        </is>
      </c>
      <c r="B6" s="10" t="n">
        <v>46273</v>
      </c>
      <c r="C6" s="9" t="n"/>
      <c r="D6" s="11" t="inlineStr">
        <is>
          <t>2025-CP-22-00093</t>
        </is>
      </c>
      <c r="E6" s="11" t="inlineStr">
        <is>
          <t>scheduled</t>
        </is>
      </c>
      <c r="F6" s="9" t="inlineStr">
        <is>
          <t>73 Magill Lane, Georgetown, SC</t>
        </is>
      </c>
      <c r="G6" s="11" t="inlineStr">
        <is>
          <t>01-0120-047-00-00</t>
        </is>
      </c>
      <c r="H6" s="9" t="inlineStr">
        <is>
          <t>REV Federal Cred. Union</t>
        </is>
      </c>
      <c r="I6" s="9" t="inlineStr">
        <is>
          <t>Ralph Hoffman</t>
        </is>
      </c>
      <c r="J6" s="11" t="inlineStr">
        <is>
          <t>demanded</t>
        </is>
      </c>
      <c r="K6" s="12" t="n"/>
      <c r="L6" s="10" t="n"/>
      <c r="M6" s="12" t="n"/>
      <c r="N6" s="11">
        <f>IF(OR(B6="",L6=""),"",MAX(0,B6-L6))</f>
        <v/>
      </c>
      <c r="O6" s="12">
        <f>IF(K6="","",K6+IF(OR(M6="",N6=""),0,M6*N6))</f>
        <v/>
      </c>
      <c r="P6" s="11" t="n"/>
      <c r="Q6" s="12" t="n"/>
      <c r="R6" s="13">
        <f>IF(OR(Q6="",Q6=0,O6=""),"",O6/Q6)</f>
        <v/>
      </c>
      <c r="S6" s="11" t="n"/>
      <c r="T6" s="11" t="n"/>
      <c r="U6" s="11" t="n"/>
      <c r="V6" s="11" t="n"/>
      <c r="W6" s="11" t="n"/>
      <c r="X6" s="11" t="inlineStr"/>
      <c r="Y6" s="11" t="n"/>
      <c r="Z6" s="11" t="n"/>
      <c r="AA6" s="11" t="n"/>
      <c r="AB6" s="11" t="n"/>
      <c r="AC6" s="9" t="inlineStr">
        <is>
          <t>73 Magill Lane, Georgetown, SC. Judgment $ not pulled yet (needs the PC run). DEFICIENCY DEMANDED — open 30 days.</t>
        </is>
      </c>
    </row>
    <row r="7">
      <c r="A7" s="9" t="inlineStr">
        <is>
          <t>Georgetown</t>
        </is>
      </c>
      <c r="B7" s="10" t="n">
        <v>46273</v>
      </c>
      <c r="C7" s="9" t="n"/>
      <c r="D7" s="11" t="inlineStr">
        <is>
          <t>2025-CP-22-00127</t>
        </is>
      </c>
      <c r="E7" s="11" t="inlineStr">
        <is>
          <t>scheduled</t>
        </is>
      </c>
      <c r="F7" s="9" t="inlineStr">
        <is>
          <t>5457 Huntington Marsh Rd., Murrells Inlet, SC</t>
        </is>
      </c>
      <c r="G7" s="11" t="inlineStr">
        <is>
          <t>04-0101-005-00-00</t>
        </is>
      </c>
      <c r="H7" s="9" t="inlineStr">
        <is>
          <t>Selene Finance</t>
        </is>
      </c>
      <c r="I7" s="9" t="inlineStr">
        <is>
          <t>John H. Oakes</t>
        </is>
      </c>
      <c r="J7" s="11" t="inlineStr">
        <is>
          <t>waived</t>
        </is>
      </c>
      <c r="K7" s="12" t="n"/>
      <c r="L7" s="10" t="n"/>
      <c r="M7" s="12" t="n"/>
      <c r="N7" s="11">
        <f>IF(OR(B7="",L7=""),"",MAX(0,B7-L7))</f>
        <v/>
      </c>
      <c r="O7" s="12">
        <f>IF(K7="","",K7+IF(OR(M7="",N7=""),0,M7*N7))</f>
        <v/>
      </c>
      <c r="P7" s="11" t="n"/>
      <c r="Q7" s="12" t="n"/>
      <c r="R7" s="13">
        <f>IF(OR(Q7="",Q7=0,O7=""),"",O7/Q7)</f>
        <v/>
      </c>
      <c r="S7" s="11" t="n"/>
      <c r="T7" s="11" t="n"/>
      <c r="U7" s="11" t="n"/>
      <c r="V7" s="11" t="n"/>
      <c r="W7" s="11" t="n"/>
      <c r="X7" s="11" t="inlineStr"/>
      <c r="Y7" s="11" t="n"/>
      <c r="Z7" s="11" t="n"/>
      <c r="AA7" s="11" t="n"/>
      <c r="AB7" s="11" t="n"/>
      <c r="AC7" s="9" t="inlineStr">
        <is>
          <t>5457 Huntington Marsh Rd., Murrells Inlet, SC. Judgment $ not pulled yet (needs the PC run). Deficiency waived — final on the day.</t>
        </is>
      </c>
    </row>
    <row r="8">
      <c r="A8" s="9" t="inlineStr">
        <is>
          <t>Georgetown</t>
        </is>
      </c>
      <c r="B8" s="10" t="n">
        <v>46273</v>
      </c>
      <c r="C8" s="9" t="n"/>
      <c r="D8" s="11" t="inlineStr">
        <is>
          <t>2025-CP-22-00906</t>
        </is>
      </c>
      <c r="E8" s="11" t="inlineStr">
        <is>
          <t>scheduled</t>
        </is>
      </c>
      <c r="F8" s="9" t="inlineStr">
        <is>
          <t>23 Orchard Ave., Murrells Inlet, SC</t>
        </is>
      </c>
      <c r="G8" s="11" t="inlineStr">
        <is>
          <t>41-0118-008-01-24</t>
        </is>
      </c>
      <c r="H8" s="9" t="inlineStr">
        <is>
          <t>Citibank, N.A.</t>
        </is>
      </c>
      <c r="I8" s="9" t="inlineStr">
        <is>
          <t>Kim Brackett</t>
        </is>
      </c>
      <c r="J8" s="11" t="inlineStr">
        <is>
          <t>waived</t>
        </is>
      </c>
      <c r="K8" s="12" t="n"/>
      <c r="L8" s="10" t="n"/>
      <c r="M8" s="12" t="n"/>
      <c r="N8" s="11">
        <f>IF(OR(B8="",L8=""),"",MAX(0,B8-L8))</f>
        <v/>
      </c>
      <c r="O8" s="12">
        <f>IF(K8="","",K8+IF(OR(M8="",N8=""),0,M8*N8))</f>
        <v/>
      </c>
      <c r="P8" s="11" t="n"/>
      <c r="Q8" s="12" t="n"/>
      <c r="R8" s="13">
        <f>IF(OR(Q8="",Q8=0,O8=""),"",O8/Q8)</f>
        <v/>
      </c>
      <c r="S8" s="11" t="n"/>
      <c r="T8" s="11" t="n"/>
      <c r="U8" s="11" t="n"/>
      <c r="V8" s="11" t="n"/>
      <c r="W8" s="11" t="n"/>
      <c r="X8" s="11" t="inlineStr"/>
      <c r="Y8" s="11" t="n"/>
      <c r="Z8" s="11" t="n"/>
      <c r="AA8" s="11" t="n"/>
      <c r="AB8" s="11" t="n"/>
      <c r="AC8" s="9" t="inlineStr">
        <is>
          <t>23 Orchard Ave., Murrells Inlet, SC. Judgment $ not pulled yet (needs the PC run). Deficiency waived — final on the day.</t>
        </is>
      </c>
    </row>
    <row r="9">
      <c r="A9" s="9" t="inlineStr">
        <is>
          <t>Greenville</t>
        </is>
      </c>
      <c r="B9" s="10" t="n">
        <v>46273</v>
      </c>
      <c r="C9" s="9" t="n">
        <v>1</v>
      </c>
      <c r="D9" s="11" t="inlineStr">
        <is>
          <t>2016-CP-23-06737</t>
        </is>
      </c>
      <c r="E9" s="11" t="inlineStr">
        <is>
          <t>withdrawn</t>
        </is>
      </c>
      <c r="F9" s="9" t="inlineStr">
        <is>
          <t>128 Wild Dogwood Way Greenville, SC 29605</t>
        </is>
      </c>
      <c r="G9" s="11" t="n"/>
      <c r="H9" s="9" t="inlineStr">
        <is>
          <t>American Capital Group, LLC</t>
        </is>
      </c>
      <c r="I9" s="9" t="inlineStr">
        <is>
          <t>Louise A. Schiminger</t>
        </is>
      </c>
      <c r="J9" s="11" t="inlineStr">
        <is>
          <t>demanded</t>
        </is>
      </c>
      <c r="K9" s="12" t="n"/>
      <c r="L9" s="10" t="n"/>
      <c r="M9" s="12" t="n"/>
      <c r="N9" s="11">
        <f>IF(OR(B9="",L9=""),"",MAX(0,B9-L9))</f>
        <v/>
      </c>
      <c r="O9" s="12">
        <f>IF(K9="","",K9+IF(OR(M9="",N9=""),0,M9*N9))</f>
        <v/>
      </c>
      <c r="P9" s="11" t="n"/>
      <c r="Q9" s="12" t="n"/>
      <c r="R9" s="13">
        <f>IF(OR(Q9="",Q9=0,O9=""),"",O9/Q9)</f>
        <v/>
      </c>
      <c r="S9" s="11" t="n"/>
      <c r="T9" s="11" t="n"/>
      <c r="U9" s="11" t="n"/>
      <c r="V9" s="11" t="n"/>
      <c r="W9" s="11" t="n"/>
      <c r="X9" s="11" t="inlineStr"/>
      <c r="Y9" s="11" t="n"/>
      <c r="Z9" s="14" t="inlineStr">
        <is>
          <t>open</t>
        </is>
      </c>
      <c r="AA9" s="11" t="n"/>
      <c r="AB9" s="11" t="n"/>
      <c r="AC9" s="9" t="inlineStr">
        <is>
          <t>128 Wild Dogwood Way Greenville, SC 29605. Judgment $ not pulled yet (needs the PC run). DEFICIENCY DEMANDED — open 30 days. STATUS: WITHDRAWN.</t>
        </is>
      </c>
    </row>
    <row r="10">
      <c r="A10" s="9" t="inlineStr">
        <is>
          <t>Greenville</t>
        </is>
      </c>
      <c r="B10" s="10" t="n">
        <v>46273</v>
      </c>
      <c r="C10" s="9" t="n">
        <v>2</v>
      </c>
      <c r="D10" s="11" t="inlineStr">
        <is>
          <t>2024-CP-23-03628</t>
        </is>
      </c>
      <c r="E10" s="11" t="inlineStr">
        <is>
          <t>scheduled</t>
        </is>
      </c>
      <c r="F10" s="9" t="inlineStr">
        <is>
          <t>9-A Stadium Drive Greenville, SC 29609</t>
        </is>
      </c>
      <c r="G10" s="11" t="n"/>
      <c r="H10" s="9" t="inlineStr">
        <is>
          <t>HSBC Bank USA, N.A., as Trustee for ACE Securities Corp. Home Equity Loan Trust, Series 2007-HE2</t>
        </is>
      </c>
      <c r="I10" s="9" t="inlineStr">
        <is>
          <t>Heirs-at-law or devisees of Edgar B. Walker, deceased, et al</t>
        </is>
      </c>
      <c r="J10" s="11" t="inlineStr">
        <is>
          <t>waived</t>
        </is>
      </c>
      <c r="K10" s="12" t="n">
        <v>94593</v>
      </c>
      <c r="L10" s="10" t="n"/>
      <c r="M10" s="12" t="n"/>
      <c r="N10" s="11">
        <f>IF(OR(B10="",L10=""),"",MAX(0,B10-L10))</f>
        <v/>
      </c>
      <c r="O10" s="12">
        <f>IF(K10="","",K10+IF(OR(M10="",N10=""),0,M10*N10))</f>
        <v/>
      </c>
      <c r="P10" s="11" t="n"/>
      <c r="Q10" s="12" t="n">
        <v>218570</v>
      </c>
      <c r="R10" s="13">
        <f>IF(OR(Q10="",Q10=0,O10=""),"",O10/Q10)</f>
        <v/>
      </c>
      <c r="S10" s="11" t="inlineStr">
        <is>
          <t>0.520</t>
        </is>
      </c>
      <c r="T10" s="11" t="inlineStr">
        <is>
          <t>1100 (Single Family)</t>
        </is>
      </c>
      <c r="U10" s="11" t="n"/>
      <c r="V10" s="11" t="n"/>
      <c r="W10" s="11" t="inlineStr">
        <is>
          <t>Walker Lonietta Y</t>
        </is>
      </c>
      <c r="X10" s="11" t="inlineStr">
        <is>
          <t>06/30/2006 $98,000</t>
        </is>
      </c>
      <c r="Y10" s="14" t="inlineStr">
        <is>
          <t>open</t>
        </is>
      </c>
      <c r="Z10" s="14" t="inlineStr">
        <is>
          <t>open</t>
        </is>
      </c>
      <c r="AA10" s="11" t="n"/>
      <c r="AB10" s="14" t="inlineStr">
        <is>
          <t>open</t>
        </is>
      </c>
      <c r="AC10" s="9" t="inlineStr">
        <is>
          <t>9-A Stadium Drive Greenville, SC 29609 — 1100 (Single Family) — 0.520 ac. Record owner Walker Lonietta Y. Last transfer 06/30/2006 for $98,000. County FMV $218,570.00. Judgment $94,593.00. Debt is 43% of FMV — real equity, expect third-party bidding. Deficiency waived — final on the day.</t>
        </is>
      </c>
    </row>
    <row r="11">
      <c r="A11" s="9" t="inlineStr">
        <is>
          <t>Greenville</t>
        </is>
      </c>
      <c r="B11" s="10" t="n">
        <v>46273</v>
      </c>
      <c r="C11" s="9" t="n">
        <v>3</v>
      </c>
      <c r="D11" s="11" t="inlineStr">
        <is>
          <t>2024-CP-23-07423</t>
        </is>
      </c>
      <c r="E11" s="11" t="inlineStr">
        <is>
          <t>scheduled</t>
        </is>
      </c>
      <c r="F11" s="9" t="inlineStr">
        <is>
          <t>304 Weddington Lane Simpsonville, SC 29681</t>
        </is>
      </c>
      <c r="G11" s="11" t="n"/>
      <c r="H11" s="9" t="inlineStr">
        <is>
          <t>New Silver Lending, LLC</t>
        </is>
      </c>
      <c r="I11" s="9" t="inlineStr">
        <is>
          <t>Key-Line Capital Investment Group, LLC</t>
        </is>
      </c>
      <c r="J11" s="11" t="inlineStr">
        <is>
          <t>demanded</t>
        </is>
      </c>
      <c r="K11" s="12" t="n">
        <v>331126</v>
      </c>
      <c r="L11" s="10" t="n"/>
      <c r="M11" s="12" t="n"/>
      <c r="N11" s="11">
        <f>IF(OR(B11="",L11=""),"",MAX(0,B11-L11))</f>
        <v/>
      </c>
      <c r="O11" s="12">
        <f>IF(K11="","",K11+IF(OR(M11="",N11=""),0,M11*N11))</f>
        <v/>
      </c>
      <c r="P11" s="11" t="n"/>
      <c r="Q11" s="12" t="n">
        <v>95000</v>
      </c>
      <c r="R11" s="13">
        <f>IF(OR(Q11="",Q11=0,O11=""),"",O11/Q11)</f>
        <v/>
      </c>
      <c r="S11" s="11" t="inlineStr">
        <is>
          <t>0.150</t>
        </is>
      </c>
      <c r="T11" s="11" t="inlineStr">
        <is>
          <t>1180 (Residential Vacant)</t>
        </is>
      </c>
      <c r="U11" s="11" t="n"/>
      <c r="V11" s="11" t="n"/>
      <c r="W11" s="11" t="inlineStr">
        <is>
          <t>Key-Line Capital Investment Gr</t>
        </is>
      </c>
      <c r="X11" s="11" t="inlineStr">
        <is>
          <t>01/23/2024 $5</t>
        </is>
      </c>
      <c r="Y11" s="14" t="inlineStr">
        <is>
          <t>open</t>
        </is>
      </c>
      <c r="Z11" s="14" t="inlineStr">
        <is>
          <t>open</t>
        </is>
      </c>
      <c r="AA11" s="11" t="n"/>
      <c r="AB11" s="14" t="inlineStr">
        <is>
          <t>open</t>
        </is>
      </c>
      <c r="AC11" s="9" t="inlineStr">
        <is>
          <t>304 Weddington Lane Simpsonville, SC 29681 — 1180 (Residential Vacant) — 0.150 ac (Linden Park). Record owner Key-Line Capital Investment Gr. Last transfer 01/23/2024 for $5. County FMV $95,000.00. Judgment $331,126.00. Debt exceeds FMV (349%) — plaintiff will likely take it back. DEFICIENCY DEMANDED — open 30 days.</t>
        </is>
      </c>
    </row>
    <row r="12">
      <c r="A12" s="9" t="inlineStr">
        <is>
          <t>Greenville</t>
        </is>
      </c>
      <c r="B12" s="10" t="n">
        <v>46273</v>
      </c>
      <c r="C12" s="9" t="n">
        <v>4</v>
      </c>
      <c r="D12" s="11" t="inlineStr">
        <is>
          <t>2025-CP-23-03722</t>
        </is>
      </c>
      <c r="E12" s="11" t="inlineStr">
        <is>
          <t>scheduled</t>
        </is>
      </c>
      <c r="F12" s="9" t="inlineStr">
        <is>
          <t>608 Rhett Street Greenville, SC 29601</t>
        </is>
      </c>
      <c r="G12" s="11" t="n"/>
      <c r="H12" s="9" t="inlineStr">
        <is>
          <t>Kiavi Funding, Inc.</t>
        </is>
      </c>
      <c r="I12" s="9" t="inlineStr">
        <is>
          <t>VSWC LLC</t>
        </is>
      </c>
      <c r="J12" s="11" t="inlineStr">
        <is>
          <t>demanded</t>
        </is>
      </c>
      <c r="K12" s="12" t="n">
        <v>482293</v>
      </c>
      <c r="L12" s="10" t="n"/>
      <c r="M12" s="12" t="n"/>
      <c r="N12" s="11">
        <f>IF(OR(B12="",L12=""),"",MAX(0,B12-L12))</f>
        <v/>
      </c>
      <c r="O12" s="12">
        <f>IF(K12="","",K12+IF(OR(M12="",N12=""),0,M12*N12))</f>
        <v/>
      </c>
      <c r="P12" s="11" t="n"/>
      <c r="Q12" s="12" t="n">
        <v>392670</v>
      </c>
      <c r="R12" s="13">
        <f>IF(OR(Q12="",Q12=0,O12=""),"",O12/Q12)</f>
        <v/>
      </c>
      <c r="S12" s="11" t="inlineStr">
        <is>
          <t>0.100</t>
        </is>
      </c>
      <c r="T12" s="11" t="inlineStr">
        <is>
          <t>1100 (Single Family)</t>
        </is>
      </c>
      <c r="U12" s="11" t="n"/>
      <c r="V12" s="11" t="n"/>
      <c r="W12" s="11" t="inlineStr">
        <is>
          <t>Vswc Llc</t>
        </is>
      </c>
      <c r="X12" s="11" t="inlineStr">
        <is>
          <t>11/13/2023 $400,000</t>
        </is>
      </c>
      <c r="Y12" s="14" t="inlineStr">
        <is>
          <t>open</t>
        </is>
      </c>
      <c r="Z12" s="14" t="inlineStr">
        <is>
          <t>open</t>
        </is>
      </c>
      <c r="AA12" s="11" t="n"/>
      <c r="AB12" s="14" t="inlineStr">
        <is>
          <t>open</t>
        </is>
      </c>
      <c r="AC12" s="9" t="inlineStr">
        <is>
          <t>608 Rhett Street Greenville, SC 29601 — 1100 (Single Family) — 0.100 ac. Record owner Vswc Llc. Last transfer 11/13/2023 for $400,000. County FMV $392,670.00. Judgment $482,293.00. Debt exceeds FMV (123%) — plaintiff will likely take it back. DEFICIENCY DEMANDED — open 30 days.</t>
        </is>
      </c>
    </row>
    <row r="13">
      <c r="A13" s="9" t="inlineStr">
        <is>
          <t>Greenville</t>
        </is>
      </c>
      <c r="B13" s="10" t="n">
        <v>46273</v>
      </c>
      <c r="C13" s="9" t="n">
        <v>5</v>
      </c>
      <c r="D13" s="11" t="inlineStr">
        <is>
          <t>2025-CP-23-05048</t>
        </is>
      </c>
      <c r="E13" s="11" t="inlineStr">
        <is>
          <t>scheduled</t>
        </is>
      </c>
      <c r="F13" s="9" t="inlineStr">
        <is>
          <t>4 Point Hope Court Greenville, SC 29605</t>
        </is>
      </c>
      <c r="G13" s="11" t="n"/>
      <c r="H13" s="9" t="inlineStr">
        <is>
          <t>South Carolina State Housing Finance and Development Authority</t>
        </is>
      </c>
      <c r="I13" s="9" t="inlineStr">
        <is>
          <t>Sharon Diane Culpepper-Booker</t>
        </is>
      </c>
      <c r="J13" s="11" t="inlineStr">
        <is>
          <t>waived</t>
        </is>
      </c>
      <c r="K13" s="12" t="n">
        <v>179057</v>
      </c>
      <c r="L13" s="10" t="n"/>
      <c r="M13" s="12" t="n"/>
      <c r="N13" s="11">
        <f>IF(OR(B13="",L13=""),"",MAX(0,B13-L13))</f>
        <v/>
      </c>
      <c r="O13" s="12">
        <f>IF(K13="","",K13+IF(OR(M13="",N13=""),0,M13*N13))</f>
        <v/>
      </c>
      <c r="P13" s="11" t="n"/>
      <c r="Q13" s="12" t="n">
        <v>235180</v>
      </c>
      <c r="R13" s="13">
        <f>IF(OR(Q13="",Q13=0,O13=""),"",O13/Q13)</f>
        <v/>
      </c>
      <c r="S13" s="11" t="inlineStr">
        <is>
          <t>0</t>
        </is>
      </c>
      <c r="T13" s="11" t="inlineStr">
        <is>
          <t>1100 (Single Family)</t>
        </is>
      </c>
      <c r="U13" s="11" t="n"/>
      <c r="V13" s="11" t="n"/>
      <c r="W13" s="11" t="inlineStr">
        <is>
          <t>Culpepper-Booker Sharon Diane</t>
        </is>
      </c>
      <c r="X13" s="11" t="inlineStr">
        <is>
          <t>09/29/2020 $179,000</t>
        </is>
      </c>
      <c r="Y13" s="14" t="inlineStr">
        <is>
          <t>open</t>
        </is>
      </c>
      <c r="Z13" s="14" t="inlineStr">
        <is>
          <t>open</t>
        </is>
      </c>
      <c r="AA13" s="11" t="n"/>
      <c r="AB13" s="14" t="inlineStr">
        <is>
          <t>open</t>
        </is>
      </c>
      <c r="AC13" s="9" t="inlineStr">
        <is>
          <t>4 Point Hope Court Greenville, SC 29605 — 1100 (Single Family) (Oak Knoll). Record owner Culpepper-Booker Sharon Diane. Last transfer 09/29/2020 for $179,000. County FMV $235,180.00. Judgment $179,057.00. Debt is 76% of FMV — thin margin. Deficiency waived — final on the day.</t>
        </is>
      </c>
    </row>
    <row r="14">
      <c r="A14" s="9" t="inlineStr">
        <is>
          <t>Greenville</t>
        </is>
      </c>
      <c r="B14" s="10" t="n">
        <v>46273</v>
      </c>
      <c r="C14" s="9" t="n">
        <v>6</v>
      </c>
      <c r="D14" s="11" t="inlineStr">
        <is>
          <t>2025-CP-23-06065</t>
        </is>
      </c>
      <c r="E14" s="11" t="inlineStr">
        <is>
          <t>withdrawn</t>
        </is>
      </c>
      <c r="F14" s="9" t="inlineStr">
        <is>
          <t>110 Water Reach Lane Simpsonville, SC 29681</t>
        </is>
      </c>
      <c r="G14" s="11" t="n"/>
      <c r="H14" s="9" t="inlineStr">
        <is>
          <t>SELENE FINANCE LP</t>
        </is>
      </c>
      <c r="I14" s="9" t="inlineStr">
        <is>
          <t>John Clement Shaugnessy</t>
        </is>
      </c>
      <c r="J14" s="11" t="inlineStr">
        <is>
          <t>waived</t>
        </is>
      </c>
      <c r="K14" s="12" t="n"/>
      <c r="L14" s="10" t="n"/>
      <c r="M14" s="12" t="n"/>
      <c r="N14" s="11">
        <f>IF(OR(B14="",L14=""),"",MAX(0,B14-L14))</f>
        <v/>
      </c>
      <c r="O14" s="12">
        <f>IF(K14="","",K14+IF(OR(M14="",N14=""),0,M14*N14))</f>
        <v/>
      </c>
      <c r="P14" s="11" t="n"/>
      <c r="Q14" s="12" t="n"/>
      <c r="R14" s="13">
        <f>IF(OR(Q14="",Q14=0,O14=""),"",O14/Q14)</f>
        <v/>
      </c>
      <c r="S14" s="11" t="n"/>
      <c r="T14" s="11" t="n"/>
      <c r="U14" s="11" t="n"/>
      <c r="V14" s="11" t="n"/>
      <c r="W14" s="11" t="n"/>
      <c r="X14" s="11" t="inlineStr"/>
      <c r="Y14" s="11" t="n"/>
      <c r="Z14" s="14" t="inlineStr">
        <is>
          <t>open</t>
        </is>
      </c>
      <c r="AA14" s="11" t="n"/>
      <c r="AB14" s="11" t="n"/>
      <c r="AC14" s="9" t="inlineStr">
        <is>
          <t>110 Water Reach Lane Simpsonville, SC 29681. Judgment $ not pulled yet (needs the PC run). Deficiency waived — final on the day. STATUS: WITHDRAWN.</t>
        </is>
      </c>
    </row>
    <row r="15">
      <c r="A15" s="9" t="inlineStr">
        <is>
          <t>Greenville</t>
        </is>
      </c>
      <c r="B15" s="10" t="n">
        <v>46273</v>
      </c>
      <c r="C15" s="9" t="n">
        <v>7</v>
      </c>
      <c r="D15" s="11" t="inlineStr">
        <is>
          <t>2025-CP-23-06198</t>
        </is>
      </c>
      <c r="E15" s="11" t="inlineStr">
        <is>
          <t>withdrawn</t>
        </is>
      </c>
      <c r="F15" s="9" t="inlineStr">
        <is>
          <t>603 Stallings Rd Taylors, SC 29687</t>
        </is>
      </c>
      <c r="G15" s="11" t="n"/>
      <c r="H15" s="9" t="inlineStr">
        <is>
          <t>Planet Home Lending, LLC</t>
        </is>
      </c>
      <c r="I15" s="9" t="inlineStr">
        <is>
          <t>Crystal Lynn Patterson</t>
        </is>
      </c>
      <c r="J15" s="11" t="inlineStr">
        <is>
          <t>waived</t>
        </is>
      </c>
      <c r="K15" s="12" t="n"/>
      <c r="L15" s="10" t="n"/>
      <c r="M15" s="12" t="n"/>
      <c r="N15" s="11">
        <f>IF(OR(B15="",L15=""),"",MAX(0,B15-L15))</f>
        <v/>
      </c>
      <c r="O15" s="12">
        <f>IF(K15="","",K15+IF(OR(M15="",N15=""),0,M15*N15))</f>
        <v/>
      </c>
      <c r="P15" s="11" t="n"/>
      <c r="Q15" s="12" t="n"/>
      <c r="R15" s="13">
        <f>IF(OR(Q15="",Q15=0,O15=""),"",O15/Q15)</f>
        <v/>
      </c>
      <c r="S15" s="11" t="n"/>
      <c r="T15" s="11" t="n"/>
      <c r="U15" s="11" t="n"/>
      <c r="V15" s="11" t="n"/>
      <c r="W15" s="11" t="n"/>
      <c r="X15" s="11" t="inlineStr"/>
      <c r="Y15" s="11" t="n"/>
      <c r="Z15" s="14" t="inlineStr">
        <is>
          <t>open</t>
        </is>
      </c>
      <c r="AA15" s="11" t="n"/>
      <c r="AB15" s="11" t="n"/>
      <c r="AC15" s="9" t="inlineStr">
        <is>
          <t>603 Stallings Rd Taylors, SC 29687. Judgment $ not pulled yet (needs the PC run). Deficiency waived — final on the day. STATUS: WITHDRAWN.</t>
        </is>
      </c>
    </row>
    <row r="16">
      <c r="A16" s="9" t="inlineStr">
        <is>
          <t>Greenville</t>
        </is>
      </c>
      <c r="B16" s="10" t="n">
        <v>46273</v>
      </c>
      <c r="C16" s="9" t="n">
        <v>8</v>
      </c>
      <c r="D16" s="11" t="inlineStr">
        <is>
          <t>2025-CP-23-06584</t>
        </is>
      </c>
      <c r="E16" s="11" t="inlineStr">
        <is>
          <t>scheduled</t>
        </is>
      </c>
      <c r="F16" s="9" t="inlineStr">
        <is>
          <t>39B W Golden Strip Drive Mauldin, SC 29662</t>
        </is>
      </c>
      <c r="G16" s="11" t="n"/>
      <c r="H16" s="9" t="inlineStr">
        <is>
          <t>South Carolina State Housing Finance and Development Authority</t>
        </is>
      </c>
      <c r="I16" s="9" t="inlineStr">
        <is>
          <t>Dominique Smith</t>
        </is>
      </c>
      <c r="J16" s="11" t="inlineStr">
        <is>
          <t>waived</t>
        </is>
      </c>
      <c r="K16" s="12" t="n">
        <v>68468.05</v>
      </c>
      <c r="L16" s="10" t="n"/>
      <c r="M16" s="12" t="n"/>
      <c r="N16" s="11">
        <f>IF(OR(B16="",L16=""),"",MAX(0,B16-L16))</f>
        <v/>
      </c>
      <c r="O16" s="12">
        <f>IF(K16="","",K16+IF(OR(M16="",N16=""),0,M16*N16))</f>
        <v/>
      </c>
      <c r="P16" s="11" t="n"/>
      <c r="Q16" s="12" t="n">
        <v>244440</v>
      </c>
      <c r="R16" s="13">
        <f>IF(OR(Q16="",Q16=0,O16=""),"",O16/Q16)</f>
        <v/>
      </c>
      <c r="S16" s="11" t="inlineStr">
        <is>
          <t>0.340</t>
        </is>
      </c>
      <c r="T16" s="11" t="inlineStr">
        <is>
          <t>1100 (Single Family)</t>
        </is>
      </c>
      <c r="U16" s="11" t="n"/>
      <c r="V16" s="11" t="n"/>
      <c r="W16" s="11" t="inlineStr">
        <is>
          <t>Ladson Alice D</t>
        </is>
      </c>
      <c r="X16" s="11" t="inlineStr">
        <is>
          <t>05/20/2014 $132,500</t>
        </is>
      </c>
      <c r="Y16" s="14" t="inlineStr">
        <is>
          <t>open</t>
        </is>
      </c>
      <c r="Z16" s="14" t="inlineStr">
        <is>
          <t>open</t>
        </is>
      </c>
      <c r="AA16" s="11" t="n"/>
      <c r="AB16" s="14" t="inlineStr">
        <is>
          <t>open</t>
        </is>
      </c>
      <c r="AC16" s="9" t="inlineStr">
        <is>
          <t>39B W Golden Strip Drive Mauldin, SC 29662 — 1100 (Single Family) — 0.340 ac. Record owner Ladson Alice D (card is for 39 W GOLDEN STRIP DR — unit letter not on file, verify). Last transfer 05/20/2014 for $132,500. County FMV $244,440.00. Judgment $68,468.05. Debt is 28% of FMV — real equity, expect third-party bidding. Deficiency waived — final on the day.</t>
        </is>
      </c>
    </row>
    <row r="17">
      <c r="A17" s="9" t="inlineStr">
        <is>
          <t>Greenville</t>
        </is>
      </c>
      <c r="B17" s="10" t="n">
        <v>46273</v>
      </c>
      <c r="C17" s="9" t="n">
        <v>9</v>
      </c>
      <c r="D17" s="11" t="inlineStr">
        <is>
          <t>2025-CP-23-06604</t>
        </is>
      </c>
      <c r="E17" s="11" t="inlineStr">
        <is>
          <t>scheduled</t>
        </is>
      </c>
      <c r="F17" s="9" t="inlineStr">
        <is>
          <t>15 Fennec Drive Fountain Inn, SC 29644</t>
        </is>
      </c>
      <c r="G17" s="11" t="n"/>
      <c r="H17" s="9" t="inlineStr">
        <is>
          <t>South Carolina State Housing Finance and Development Authority</t>
        </is>
      </c>
      <c r="I17" s="9" t="inlineStr">
        <is>
          <t>Brandon Andre Roane</t>
        </is>
      </c>
      <c r="J17" s="11" t="inlineStr">
        <is>
          <t>demanded</t>
        </is>
      </c>
      <c r="K17" s="12" t="n">
        <v>279737</v>
      </c>
      <c r="L17" s="10" t="n"/>
      <c r="M17" s="12" t="n"/>
      <c r="N17" s="11">
        <f>IF(OR(B17="",L17=""),"",MAX(0,B17-L17))</f>
        <v/>
      </c>
      <c r="O17" s="12">
        <f>IF(K17="","",K17+IF(OR(M17="",N17=""),0,M17*N17))</f>
        <v/>
      </c>
      <c r="P17" s="11" t="n"/>
      <c r="Q17" s="12" t="n">
        <v>289220</v>
      </c>
      <c r="R17" s="13">
        <f>IF(OR(Q17="",Q17=0,O17=""),"",O17/Q17)</f>
        <v/>
      </c>
      <c r="S17" s="11" t="inlineStr">
        <is>
          <t>0</t>
        </is>
      </c>
      <c r="T17" s="11" t="inlineStr">
        <is>
          <t>1100 (Single Family)</t>
        </is>
      </c>
      <c r="U17" s="11" t="n"/>
      <c r="V17" s="11" t="n"/>
      <c r="W17" s="11" t="inlineStr">
        <is>
          <t>Roane Brandon Andre</t>
        </is>
      </c>
      <c r="X17" s="11" t="inlineStr">
        <is>
          <t>05/11/2023 $262,999</t>
        </is>
      </c>
      <c r="Y17" s="14" t="inlineStr">
        <is>
          <t>open</t>
        </is>
      </c>
      <c r="Z17" s="14" t="inlineStr">
        <is>
          <t>open</t>
        </is>
      </c>
      <c r="AA17" s="11" t="n"/>
      <c r="AB17" s="14" t="inlineStr">
        <is>
          <t>open</t>
        </is>
      </c>
      <c r="AC17" s="9" t="inlineStr">
        <is>
          <t>15 Fennec Drive Fountain Inn, SC 29644 — 1100 (Single Family) (Fox Tail Cottages). Record owner Roane Brandon Andre. Last transfer 05/11/2023 for $262,999. County FMV $289,220.00. Judgment $279,737.00. Debt is 97% of FMV — thin margin. DEFICIENCY DEMANDED — open 30 days.</t>
        </is>
      </c>
    </row>
    <row r="18">
      <c r="A18" s="9" t="inlineStr">
        <is>
          <t>Greenville</t>
        </is>
      </c>
      <c r="B18" s="10" t="n">
        <v>46273</v>
      </c>
      <c r="C18" s="9" t="n">
        <v>10</v>
      </c>
      <c r="D18" s="11" t="inlineStr">
        <is>
          <t>2025-CP-23-06612</t>
        </is>
      </c>
      <c r="E18" s="11" t="inlineStr">
        <is>
          <t>scheduled</t>
        </is>
      </c>
      <c r="F18" s="9" t="inlineStr">
        <is>
          <t>104 Pine Needle Road Piedmont, SC 29673</t>
        </is>
      </c>
      <c r="G18" s="11" t="n"/>
      <c r="H18" s="9" t="inlineStr">
        <is>
          <t>South Carolina State Housing Finance and Development Authority</t>
        </is>
      </c>
      <c r="I18" s="9" t="inlineStr">
        <is>
          <t>Ashley Rhodes</t>
        </is>
      </c>
      <c r="J18" s="11" t="inlineStr">
        <is>
          <t>waived</t>
        </is>
      </c>
      <c r="K18" s="12" t="n">
        <v>254440</v>
      </c>
      <c r="L18" s="10" t="n"/>
      <c r="M18" s="12" t="n"/>
      <c r="N18" s="11">
        <f>IF(OR(B18="",L18=""),"",MAX(0,B18-L18))</f>
        <v/>
      </c>
      <c r="O18" s="12">
        <f>IF(K18="","",K18+IF(OR(M18="",N18=""),0,M18*N18))</f>
        <v/>
      </c>
      <c r="P18" s="11" t="n"/>
      <c r="Q18" s="12" t="n">
        <v>212830</v>
      </c>
      <c r="R18" s="13">
        <f>IF(OR(Q18="",Q18=0,O18=""),"",O18/Q18)</f>
        <v/>
      </c>
      <c r="S18" s="11" t="inlineStr">
        <is>
          <t>0</t>
        </is>
      </c>
      <c r="T18" s="11" t="inlineStr">
        <is>
          <t>1100 (Single Family)</t>
        </is>
      </c>
      <c r="U18" s="11" t="n"/>
      <c r="V18" s="11" t="n"/>
      <c r="W18" s="11" t="inlineStr">
        <is>
          <t>Rhodes Ashley</t>
        </is>
      </c>
      <c r="X18" s="11" t="inlineStr">
        <is>
          <t>01/17/2024 $222,500</t>
        </is>
      </c>
      <c r="Y18" s="14" t="inlineStr">
        <is>
          <t>open</t>
        </is>
      </c>
      <c r="Z18" s="14" t="inlineStr">
        <is>
          <t>open</t>
        </is>
      </c>
      <c r="AA18" s="11" t="n"/>
      <c r="AB18" s="14" t="inlineStr">
        <is>
          <t>open</t>
        </is>
      </c>
      <c r="AC18" s="9" t="inlineStr">
        <is>
          <t>104 Pine Needle Road Piedmont, SC 29673 — 1100 (Single Family) (Pine Shadows). Record owner Rhodes Ashley. Last transfer 01/17/2024 for $222,500. County FMV $212,830.00. Judgment $254,440.00. Debt exceeds FMV (120%) — plaintiff will likely take it back. Deficiency waived — final on the day.</t>
        </is>
      </c>
    </row>
    <row r="19">
      <c r="A19" s="9" t="inlineStr">
        <is>
          <t>Greenville</t>
        </is>
      </c>
      <c r="B19" s="10" t="n">
        <v>46273</v>
      </c>
      <c r="C19" s="9" t="n">
        <v>11</v>
      </c>
      <c r="D19" s="11" t="inlineStr">
        <is>
          <t>2025-CP-23-07189</t>
        </is>
      </c>
      <c r="E19" s="11" t="inlineStr">
        <is>
          <t>scheduled</t>
        </is>
      </c>
      <c r="F19" s="9" t="inlineStr">
        <is>
          <t>402 Sienna Drive Greenville, SC 29609</t>
        </is>
      </c>
      <c r="G19" s="11" t="n"/>
      <c r="H19" s="9" t="inlineStr">
        <is>
          <t>U.S. Bank Trust National Association, as trustee for Legacy Mortgage Asset Trust 2021-GS4</t>
        </is>
      </c>
      <c r="I19" s="9" t="inlineStr">
        <is>
          <t>Terry Tolbert</t>
        </is>
      </c>
      <c r="J19" s="11" t="inlineStr">
        <is>
          <t>waived</t>
        </is>
      </c>
      <c r="K19" s="12" t="n">
        <v>906485</v>
      </c>
      <c r="L19" s="10" t="n"/>
      <c r="M19" s="12" t="n"/>
      <c r="N19" s="11">
        <f>IF(OR(B19="",L19=""),"",MAX(0,B19-L19))</f>
        <v/>
      </c>
      <c r="O19" s="12">
        <f>IF(K19="","",K19+IF(OR(M19="",N19=""),0,M19*N19))</f>
        <v/>
      </c>
      <c r="P19" s="11" t="n"/>
      <c r="Q19" s="12" t="n"/>
      <c r="R19" s="13">
        <f>IF(OR(Q19="",Q19=0,O19=""),"",O19/Q19)</f>
        <v/>
      </c>
      <c r="S19" s="11" t="n"/>
      <c r="T19" s="11" t="n"/>
      <c r="U19" s="11" t="n"/>
      <c r="V19" s="11" t="n"/>
      <c r="W19" s="11" t="n"/>
      <c r="X19" s="11" t="inlineStr"/>
      <c r="Y19" s="14" t="inlineStr">
        <is>
          <t>open</t>
        </is>
      </c>
      <c r="Z19" s="14" t="inlineStr">
        <is>
          <t>open</t>
        </is>
      </c>
      <c r="AA19" s="11" t="n"/>
      <c r="AB19" s="11" t="n"/>
      <c r="AC19" s="9" t="inlineStr">
        <is>
          <t>402 Sienna Drive Greenville, SC 29609. Judgment $906,485.00. Deficiency waived — final on the day.</t>
        </is>
      </c>
    </row>
    <row r="20">
      <c r="A20" s="9" t="inlineStr">
        <is>
          <t>Greenville</t>
        </is>
      </c>
      <c r="B20" s="10" t="n">
        <v>46273</v>
      </c>
      <c r="C20" s="9" t="n">
        <v>12</v>
      </c>
      <c r="D20" s="11" t="inlineStr">
        <is>
          <t>2025-CP-23-07612</t>
        </is>
      </c>
      <c r="E20" s="11" t="inlineStr">
        <is>
          <t>scheduled</t>
        </is>
      </c>
      <c r="F20" s="9" t="inlineStr">
        <is>
          <t>3 Black Oak Court Simpsonville, SC 29680</t>
        </is>
      </c>
      <c r="G20" s="11" t="n"/>
      <c r="H20" s="9" t="inlineStr">
        <is>
          <t>South Carolina State Housing Finance and Development Authority</t>
        </is>
      </c>
      <c r="I20" s="9" t="inlineStr">
        <is>
          <t>Maria Harley</t>
        </is>
      </c>
      <c r="J20" s="11" t="inlineStr">
        <is>
          <t>waived</t>
        </is>
      </c>
      <c r="K20" s="12" t="n">
        <v>269097</v>
      </c>
      <c r="L20" s="10" t="n"/>
      <c r="M20" s="12" t="n"/>
      <c r="N20" s="11">
        <f>IF(OR(B20="",L20=""),"",MAX(0,B20-L20))</f>
        <v/>
      </c>
      <c r="O20" s="12">
        <f>IF(K20="","",K20+IF(OR(M20="",N20=""),0,M20*N20))</f>
        <v/>
      </c>
      <c r="P20" s="11" t="n"/>
      <c r="Q20" s="12" t="n">
        <v>278430</v>
      </c>
      <c r="R20" s="13">
        <f>IF(OR(Q20="",Q20=0,O20=""),"",O20/Q20)</f>
        <v/>
      </c>
      <c r="S20" s="11" t="inlineStr">
        <is>
          <t>0</t>
        </is>
      </c>
      <c r="T20" s="11" t="inlineStr">
        <is>
          <t>1100 (Single Family)</t>
        </is>
      </c>
      <c r="U20" s="11" t="n"/>
      <c r="V20" s="11" t="n"/>
      <c r="W20" s="11" t="inlineStr">
        <is>
          <t>Harley Maria</t>
        </is>
      </c>
      <c r="X20" s="11" t="inlineStr">
        <is>
          <t>11/15/2023 $244,900</t>
        </is>
      </c>
      <c r="Y20" s="14" t="inlineStr">
        <is>
          <t>open</t>
        </is>
      </c>
      <c r="Z20" s="14" t="inlineStr">
        <is>
          <t>open</t>
        </is>
      </c>
      <c r="AA20" s="11" t="n"/>
      <c r="AB20" s="14" t="inlineStr">
        <is>
          <t>open</t>
        </is>
      </c>
      <c r="AC20" s="9" t="inlineStr">
        <is>
          <t>3 Black Oak Court Simpsonville, SC 29680 — 1100 (Single Family) (Standing Springs Estate). Record owner Harley Maria. Last transfer 11/15/2023 for $244,900. County FMV $278,430.00. Judgment $269,097.00. Debt is 97% of FMV — thin margin. Deficiency waived — final on the day.</t>
        </is>
      </c>
    </row>
    <row r="21">
      <c r="A21" s="9" t="inlineStr">
        <is>
          <t>Greenville</t>
        </is>
      </c>
      <c r="B21" s="10" t="n">
        <v>46273</v>
      </c>
      <c r="C21" s="9" t="n">
        <v>13</v>
      </c>
      <c r="D21" s="11" t="inlineStr">
        <is>
          <t>2025-CP-23-07667</t>
        </is>
      </c>
      <c r="E21" s="11" t="inlineStr">
        <is>
          <t>withdrawn</t>
        </is>
      </c>
      <c r="F21" s="9" t="inlineStr">
        <is>
          <t>406 Sandusky Lane Simpsonville, SC 29680</t>
        </is>
      </c>
      <c r="G21" s="11" t="n"/>
      <c r="H21" s="9" t="inlineStr">
        <is>
          <t>River Shoals Homeowners Association Inc</t>
        </is>
      </c>
      <c r="I21" s="9" t="inlineStr">
        <is>
          <t>Nancy Abad</t>
        </is>
      </c>
      <c r="J21" s="11" t="inlineStr">
        <is>
          <t>waived</t>
        </is>
      </c>
      <c r="K21" s="12" t="n"/>
      <c r="L21" s="10" t="n"/>
      <c r="M21" s="12" t="n"/>
      <c r="N21" s="11">
        <f>IF(OR(B21="",L21=""),"",MAX(0,B21-L21))</f>
        <v/>
      </c>
      <c r="O21" s="12">
        <f>IF(K21="","",K21+IF(OR(M21="",N21=""),0,M21*N21))</f>
        <v/>
      </c>
      <c r="P21" s="11" t="n"/>
      <c r="Q21" s="12" t="n"/>
      <c r="R21" s="13">
        <f>IF(OR(Q21="",Q21=0,O21=""),"",O21/Q21)</f>
        <v/>
      </c>
      <c r="S21" s="11" t="n"/>
      <c r="T21" s="11" t="n"/>
      <c r="U21" s="11" t="n"/>
      <c r="V21" s="11" t="n"/>
      <c r="W21" s="11" t="n"/>
      <c r="X21" s="11" t="inlineStr"/>
      <c r="Y21" s="11" t="n"/>
      <c r="Z21" s="14" t="inlineStr">
        <is>
          <t>open</t>
        </is>
      </c>
      <c r="AA21" s="11" t="n"/>
      <c r="AB21" s="11" t="n"/>
      <c r="AC21" s="9" t="inlineStr">
        <is>
          <t>406 Sandusky Lane Simpsonville, SC 29680. Judgment $ not pulled yet (needs the PC run). Deficiency waived — final on the day. STATUS: WITHDRAWN.</t>
        </is>
      </c>
    </row>
    <row r="22">
      <c r="A22" s="9" t="inlineStr">
        <is>
          <t>Greenville</t>
        </is>
      </c>
      <c r="B22" s="10" t="n">
        <v>46273</v>
      </c>
      <c r="C22" s="9" t="n">
        <v>14</v>
      </c>
      <c r="D22" s="11" t="inlineStr">
        <is>
          <t>2025-CP-23-08344</t>
        </is>
      </c>
      <c r="E22" s="11" t="inlineStr">
        <is>
          <t>withdrawn</t>
        </is>
      </c>
      <c r="F22" s="9" t="inlineStr">
        <is>
          <t>1904 Lake Cunningham Road Greer, SC 29651</t>
        </is>
      </c>
      <c r="G22" s="11" t="n"/>
      <c r="H22" s="9" t="inlineStr">
        <is>
          <t>New American Funding LLC f/k/a Broker Solutions, Inc.</t>
        </is>
      </c>
      <c r="I22" s="9" t="inlineStr">
        <is>
          <t>Michael Greene</t>
        </is>
      </c>
      <c r="J22" s="11" t="inlineStr">
        <is>
          <t>waived</t>
        </is>
      </c>
      <c r="K22" s="12" t="n"/>
      <c r="L22" s="10" t="n"/>
      <c r="M22" s="12" t="n"/>
      <c r="N22" s="11">
        <f>IF(OR(B22="",L22=""),"",MAX(0,B22-L22))</f>
        <v/>
      </c>
      <c r="O22" s="12">
        <f>IF(K22="","",K22+IF(OR(M22="",N22=""),0,M22*N22))</f>
        <v/>
      </c>
      <c r="P22" s="11" t="n"/>
      <c r="Q22" s="12" t="n">
        <v>410930</v>
      </c>
      <c r="R22" s="13">
        <f>IF(OR(Q22="",Q22=0,O22=""),"",O22/Q22)</f>
        <v/>
      </c>
      <c r="S22" s="11" t="inlineStr">
        <is>
          <t>0</t>
        </is>
      </c>
      <c r="T22" s="11" t="inlineStr">
        <is>
          <t>1170 (MH w/ land)</t>
        </is>
      </c>
      <c r="U22" s="11" t="n"/>
      <c r="V22" s="11" t="n"/>
      <c r="W22" s="11" t="inlineStr">
        <is>
          <t>Morales-Greene Emilia</t>
        </is>
      </c>
      <c r="X22" s="11" t="inlineStr">
        <is>
          <t>06/27/2025</t>
        </is>
      </c>
      <c r="Y22" s="11" t="n"/>
      <c r="Z22" s="14" t="inlineStr">
        <is>
          <t>open</t>
        </is>
      </c>
      <c r="AA22" s="11" t="n"/>
      <c r="AB22" s="14" t="inlineStr">
        <is>
          <t>open</t>
        </is>
      </c>
      <c r="AC22" s="9" t="inlineStr">
        <is>
          <t>1904 Lake Cunningham Road Greer, SC 29651 — 1170 (MH w/ land) (Cunningham Downs). Record owner Morales-Greene Emilia. Last transfer 06/27/2025. County FMV $410,930.00. Judgment $ not pulled yet (needs the PC run). Deficiency waived — final on the day. STATUS: WITHDRAWN.</t>
        </is>
      </c>
    </row>
    <row r="23">
      <c r="A23" s="9" t="inlineStr">
        <is>
          <t>Greenville</t>
        </is>
      </c>
      <c r="B23" s="10" t="n">
        <v>46273</v>
      </c>
      <c r="C23" s="9" t="n">
        <v>15</v>
      </c>
      <c r="D23" s="11" t="inlineStr">
        <is>
          <t>2025-CP-23-08409</t>
        </is>
      </c>
      <c r="E23" s="11" t="inlineStr">
        <is>
          <t>withdrawn</t>
        </is>
      </c>
      <c r="F23" s="9" t="inlineStr">
        <is>
          <t>116 Ridgewater Court Fountain Inn, SC 29644</t>
        </is>
      </c>
      <c r="G23" s="11" t="n"/>
      <c r="H23" s="9" t="inlineStr">
        <is>
          <t>US Bank Trust National Association, as owner trustee for VRMTG Asset Trust</t>
        </is>
      </c>
      <c r="I23" s="9" t="inlineStr">
        <is>
          <t>Kathleen DeFrancesco</t>
        </is>
      </c>
      <c r="J23" s="11" t="inlineStr">
        <is>
          <t>waived</t>
        </is>
      </c>
      <c r="K23" s="12" t="n"/>
      <c r="L23" s="10" t="n"/>
      <c r="M23" s="12" t="n"/>
      <c r="N23" s="11">
        <f>IF(OR(B23="",L23=""),"",MAX(0,B23-L23))</f>
        <v/>
      </c>
      <c r="O23" s="12">
        <f>IF(K23="","",K23+IF(OR(M23="",N23=""),0,M23*N23))</f>
        <v/>
      </c>
      <c r="P23" s="11" t="n"/>
      <c r="Q23" s="12" t="n"/>
      <c r="R23" s="13">
        <f>IF(OR(Q23="",Q23=0,O23=""),"",O23/Q23)</f>
        <v/>
      </c>
      <c r="S23" s="11" t="n"/>
      <c r="T23" s="11" t="n"/>
      <c r="U23" s="11" t="n"/>
      <c r="V23" s="11" t="n"/>
      <c r="W23" s="11" t="n"/>
      <c r="X23" s="11" t="inlineStr"/>
      <c r="Y23" s="11" t="n"/>
      <c r="Z23" s="14" t="inlineStr">
        <is>
          <t>open</t>
        </is>
      </c>
      <c r="AA23" s="11" t="n"/>
      <c r="AB23" s="11" t="n"/>
      <c r="AC23" s="9" t="inlineStr">
        <is>
          <t>116 Ridgewater Court Fountain Inn, SC 29644. Judgment $ not pulled yet (needs the PC run). Deficiency waived — final on the day. STATUS: WITHDRAWN.</t>
        </is>
      </c>
    </row>
    <row r="24">
      <c r="A24" s="9" t="inlineStr">
        <is>
          <t>Greenville</t>
        </is>
      </c>
      <c r="B24" s="10" t="n">
        <v>46273</v>
      </c>
      <c r="C24" s="9" t="n">
        <v>16</v>
      </c>
      <c r="D24" s="11" t="inlineStr">
        <is>
          <t>2026-CP-23-00155</t>
        </is>
      </c>
      <c r="E24" s="11" t="inlineStr">
        <is>
          <t>scheduled</t>
        </is>
      </c>
      <c r="F24" s="9" t="inlineStr">
        <is>
          <t>1406 Winding Way Taylors, SC 29687</t>
        </is>
      </c>
      <c r="G24" s="11" t="n"/>
      <c r="H24" s="9" t="inlineStr">
        <is>
          <t>Rocket Mortgage, LLC f/k/a Quicken Loans, LLC</t>
        </is>
      </c>
      <c r="I24" s="9" t="inlineStr">
        <is>
          <t>Philip W. Dixon</t>
        </is>
      </c>
      <c r="J24" s="11" t="inlineStr">
        <is>
          <t>demanded</t>
        </is>
      </c>
      <c r="K24" s="12" t="n">
        <v>107886</v>
      </c>
      <c r="L24" s="10" t="n"/>
      <c r="M24" s="12" t="n"/>
      <c r="N24" s="11">
        <f>IF(OR(B24="",L24=""),"",MAX(0,B24-L24))</f>
        <v/>
      </c>
      <c r="O24" s="12">
        <f>IF(K24="","",K24+IF(OR(M24="",N24=""),0,M24*N24))</f>
        <v/>
      </c>
      <c r="P24" s="11" t="n"/>
      <c r="Q24" s="12" t="n">
        <v>254770</v>
      </c>
      <c r="R24" s="13">
        <f>IF(OR(Q24="",Q24=0,O24=""),"",O24/Q24)</f>
        <v/>
      </c>
      <c r="S24" s="11" t="inlineStr">
        <is>
          <t>0</t>
        </is>
      </c>
      <c r="T24" s="11" t="inlineStr">
        <is>
          <t>1100 (Single Family)</t>
        </is>
      </c>
      <c r="U24" s="11" t="n"/>
      <c r="V24" s="11" t="n"/>
      <c r="W24" s="11" t="inlineStr">
        <is>
          <t>Dixon Sue Ann</t>
        </is>
      </c>
      <c r="X24" s="11" t="inlineStr">
        <is>
          <t>12/01/2009 $10</t>
        </is>
      </c>
      <c r="Y24" s="14" t="inlineStr">
        <is>
          <t>open</t>
        </is>
      </c>
      <c r="Z24" s="14" t="inlineStr">
        <is>
          <t>open</t>
        </is>
      </c>
      <c r="AA24" s="11" t="n"/>
      <c r="AB24" s="14" t="inlineStr">
        <is>
          <t>open</t>
        </is>
      </c>
      <c r="AC24" s="9" t="inlineStr">
        <is>
          <t>1406 Winding Way Taylors, SC 29687 — 1100 (Single Family) (Peppertree). Record owner Dixon Sue Ann. Last transfer 12/01/2009 for $10. County FMV $254,770.00. Judgment $107,886.00. Debt is 42% of FMV — real equity, expect third-party bidding. DEFICIENCY DEMANDED — open 30 days.</t>
        </is>
      </c>
    </row>
    <row r="25">
      <c r="A25" s="9" t="inlineStr">
        <is>
          <t>Greenville</t>
        </is>
      </c>
      <c r="B25" s="10" t="n">
        <v>46273</v>
      </c>
      <c r="C25" s="9" t="n">
        <v>17</v>
      </c>
      <c r="D25" s="11" t="inlineStr">
        <is>
          <t>2026-CP-23-00195</t>
        </is>
      </c>
      <c r="E25" s="11" t="inlineStr">
        <is>
          <t>withdrawn</t>
        </is>
      </c>
      <c r="F25" s="9" t="inlineStr">
        <is>
          <t>19 and 21 Whiller Drive Greenville, SC 29608</t>
        </is>
      </c>
      <c r="G25" s="11" t="n"/>
      <c r="H25" s="9" t="inlineStr">
        <is>
          <t>Moneyline Ventures, LLC</t>
        </is>
      </c>
      <c r="I25" s="9" t="inlineStr">
        <is>
          <t>A.S.K. Enterprises &amp; Funding, LLC</t>
        </is>
      </c>
      <c r="J25" s="11" t="inlineStr">
        <is>
          <t>waived</t>
        </is>
      </c>
      <c r="K25" s="12" t="n"/>
      <c r="L25" s="10" t="n"/>
      <c r="M25" s="12" t="n"/>
      <c r="N25" s="11">
        <f>IF(OR(B25="",L25=""),"",MAX(0,B25-L25))</f>
        <v/>
      </c>
      <c r="O25" s="12">
        <f>IF(K25="","",K25+IF(OR(M25="",N25=""),0,M25*N25))</f>
        <v/>
      </c>
      <c r="P25" s="11" t="n"/>
      <c r="Q25" s="12" t="n"/>
      <c r="R25" s="13">
        <f>IF(OR(Q25="",Q25=0,O25=""),"",O25/Q25)</f>
        <v/>
      </c>
      <c r="S25" s="11" t="n"/>
      <c r="T25" s="11" t="n"/>
      <c r="U25" s="11" t="n"/>
      <c r="V25" s="11" t="n"/>
      <c r="W25" s="11" t="n"/>
      <c r="X25" s="11" t="inlineStr"/>
      <c r="Y25" s="11" t="n"/>
      <c r="Z25" s="14" t="inlineStr">
        <is>
          <t>open</t>
        </is>
      </c>
      <c r="AA25" s="11" t="n"/>
      <c r="AB25" s="11" t="n"/>
      <c r="AC25" s="9" t="inlineStr">
        <is>
          <t>19 and 21 Whiller Drive Greenville, SC 29608. Judgment $ not pulled yet (needs the PC run). Deficiency waived — final on the day. STATUS: WITHDRAWN.</t>
        </is>
      </c>
    </row>
    <row r="26">
      <c r="A26" s="9" t="inlineStr">
        <is>
          <t>Greenville</t>
        </is>
      </c>
      <c r="B26" s="10" t="n">
        <v>46273</v>
      </c>
      <c r="C26" s="9" t="n">
        <v>18</v>
      </c>
      <c r="D26" s="11" t="inlineStr">
        <is>
          <t>2026-CP-23-00512</t>
        </is>
      </c>
      <c r="E26" s="11" t="inlineStr">
        <is>
          <t>scheduled</t>
        </is>
      </c>
      <c r="F26" s="9" t="inlineStr">
        <is>
          <t>104 Oak Forest Drive Greer, SC 29650</t>
        </is>
      </c>
      <c r="G26" s="11" t="n"/>
      <c r="H26" s="9" t="inlineStr">
        <is>
          <t>Carrington Mortgage Services, LLC</t>
        </is>
      </c>
      <c r="I26" s="9" t="inlineStr">
        <is>
          <t>Chad Thompson</t>
        </is>
      </c>
      <c r="J26" s="11" t="inlineStr">
        <is>
          <t>waived</t>
        </is>
      </c>
      <c r="K26" s="12" t="n">
        <v>408231</v>
      </c>
      <c r="L26" s="10" t="n"/>
      <c r="M26" s="12" t="n"/>
      <c r="N26" s="11">
        <f>IF(OR(B26="",L26=""),"",MAX(0,B26-L26))</f>
        <v/>
      </c>
      <c r="O26" s="12">
        <f>IF(K26="","",K26+IF(OR(M26="",N26=""),0,M26*N26))</f>
        <v/>
      </c>
      <c r="P26" s="11" t="n"/>
      <c r="Q26" s="12" t="n">
        <v>522800</v>
      </c>
      <c r="R26" s="13">
        <f>IF(OR(Q26="",Q26=0,O26=""),"",O26/Q26)</f>
        <v/>
      </c>
      <c r="S26" s="11" t="inlineStr">
        <is>
          <t>0</t>
        </is>
      </c>
      <c r="T26" s="11" t="inlineStr">
        <is>
          <t>1100 (Single Family)</t>
        </is>
      </c>
      <c r="U26" s="11" t="n"/>
      <c r="V26" s="11" t="n"/>
      <c r="W26" s="11" t="inlineStr">
        <is>
          <t>Thompson Chad</t>
        </is>
      </c>
      <c r="X26" s="11" t="inlineStr">
        <is>
          <t>04/11/2022 $389,900</t>
        </is>
      </c>
      <c r="Y26" s="14" t="inlineStr">
        <is>
          <t>open</t>
        </is>
      </c>
      <c r="Z26" s="14" t="inlineStr">
        <is>
          <t>open</t>
        </is>
      </c>
      <c r="AA26" s="11" t="n"/>
      <c r="AB26" s="14" t="inlineStr">
        <is>
          <t>open</t>
        </is>
      </c>
      <c r="AC26" s="9" t="inlineStr">
        <is>
          <t>104 Oak Forest Drive Greer, SC 29650 — 1100 (Single Family). Record owner Thompson Chad. Last transfer 04/11/2022 for $389,900. County FMV $522,800.00. Judgment $408,231.00. Debt is 78% of FMV — thin margin. Deficiency waived — final on the day.</t>
        </is>
      </c>
    </row>
    <row r="27">
      <c r="A27" s="9" t="inlineStr">
        <is>
          <t>Greenville</t>
        </is>
      </c>
      <c r="B27" s="10" t="n">
        <v>46273</v>
      </c>
      <c r="C27" s="9" t="n">
        <v>19</v>
      </c>
      <c r="D27" s="11" t="inlineStr">
        <is>
          <t>2026-CP-23-00555</t>
        </is>
      </c>
      <c r="E27" s="11" t="inlineStr">
        <is>
          <t>withdrawn</t>
        </is>
      </c>
      <c r="F27" s="9" t="inlineStr">
        <is>
          <t>67 Wallace Street Greenville, SC 29605</t>
        </is>
      </c>
      <c r="G27" s="11" t="n"/>
      <c r="H27" s="9" t="inlineStr">
        <is>
          <t>Greenville County Redevelopment Authority</t>
        </is>
      </c>
      <c r="I27" s="9" t="inlineStr">
        <is>
          <t>Sylvia G. Hammett</t>
        </is>
      </c>
      <c r="J27" s="11" t="inlineStr">
        <is>
          <t>waived</t>
        </is>
      </c>
      <c r="K27" s="12" t="n"/>
      <c r="L27" s="10" t="n"/>
      <c r="M27" s="12" t="n"/>
      <c r="N27" s="11">
        <f>IF(OR(B27="",L27=""),"",MAX(0,B27-L27))</f>
        <v/>
      </c>
      <c r="O27" s="12">
        <f>IF(K27="","",K27+IF(OR(M27="",N27=""),0,M27*N27))</f>
        <v/>
      </c>
      <c r="P27" s="11" t="n"/>
      <c r="Q27" s="12" t="n"/>
      <c r="R27" s="13">
        <f>IF(OR(Q27="",Q27=0,O27=""),"",O27/Q27)</f>
        <v/>
      </c>
      <c r="S27" s="11" t="n"/>
      <c r="T27" s="11" t="n"/>
      <c r="U27" s="11" t="n"/>
      <c r="V27" s="11" t="n"/>
      <c r="W27" s="11" t="n"/>
      <c r="X27" s="11" t="inlineStr"/>
      <c r="Y27" s="11" t="n"/>
      <c r="Z27" s="14" t="inlineStr">
        <is>
          <t>open</t>
        </is>
      </c>
      <c r="AA27" s="11" t="n"/>
      <c r="AB27" s="11" t="n"/>
      <c r="AC27" s="9" t="inlineStr">
        <is>
          <t>67 Wallace Street Greenville, SC 29605. Judgment $ not pulled yet (needs the PC run). Deficiency waived — final on the day. STATUS: WITHDRAWN.</t>
        </is>
      </c>
    </row>
    <row r="28">
      <c r="A28" s="9" t="inlineStr">
        <is>
          <t>Greenville</t>
        </is>
      </c>
      <c r="B28" s="10" t="n">
        <v>46273</v>
      </c>
      <c r="C28" s="9" t="n">
        <v>20</v>
      </c>
      <c r="D28" s="11" t="inlineStr">
        <is>
          <t>2026-CP-23-00730</t>
        </is>
      </c>
      <c r="E28" s="11" t="inlineStr">
        <is>
          <t>scheduled</t>
        </is>
      </c>
      <c r="F28" s="9" t="inlineStr">
        <is>
          <t>100 N. Markley St. Greenville, SC 29601</t>
        </is>
      </c>
      <c r="G28" s="11" t="n"/>
      <c r="H28" s="9" t="inlineStr">
        <is>
          <t>The Fidelity Bank</t>
        </is>
      </c>
      <c r="I28" s="9" t="inlineStr">
        <is>
          <t>Greenville HKW, LLC</t>
        </is>
      </c>
      <c r="J28" s="11" t="inlineStr">
        <is>
          <t>waived</t>
        </is>
      </c>
      <c r="K28" s="12" t="n">
        <v>4572030.1</v>
      </c>
      <c r="L28" s="10" t="n"/>
      <c r="M28" s="12" t="n"/>
      <c r="N28" s="11">
        <f>IF(OR(B28="",L28=""),"",MAX(0,B28-L28))</f>
        <v/>
      </c>
      <c r="O28" s="12">
        <f>IF(K28="","",K28+IF(OR(M28="",N28=""),0,M28*N28))</f>
        <v/>
      </c>
      <c r="P28" s="11" t="n"/>
      <c r="Q28" s="12" t="n">
        <v>2973000</v>
      </c>
      <c r="R28" s="13">
        <f>IF(OR(Q28="",Q28=0,O28=""),"",O28/Q28)</f>
        <v/>
      </c>
      <c r="S28" s="11" t="inlineStr">
        <is>
          <t>0.910</t>
        </is>
      </c>
      <c r="T28" s="11" t="inlineStr">
        <is>
          <t>6800 (Commercial Vacant )</t>
        </is>
      </c>
      <c r="U28" s="11" t="n"/>
      <c r="V28" s="11" t="n"/>
      <c r="W28" s="11" t="inlineStr">
        <is>
          <t>Greenville Hkw Llc</t>
        </is>
      </c>
      <c r="X28" s="11" t="inlineStr">
        <is>
          <t>12/16/2019</t>
        </is>
      </c>
      <c r="Y28" s="14" t="inlineStr">
        <is>
          <t>open</t>
        </is>
      </c>
      <c r="Z28" s="14" t="inlineStr">
        <is>
          <t>open</t>
        </is>
      </c>
      <c r="AA28" s="11" t="n"/>
      <c r="AB28" s="14" t="inlineStr">
        <is>
          <t>open</t>
        </is>
      </c>
      <c r="AC28" s="9" t="inlineStr">
        <is>
          <t>100 N. Markley St. Greenville, SC 29601 — 6800 (Commercial Vacant ) — 0.910 ac. Record owner Greenville Hkw Llc. Last transfer 12/16/2019. County FMV $2,973,000.00. Judgment $4,572,030.10. Debt exceeds FMV (154%) — plaintiff will likely take it back. Deficiency waived — final on the day.</t>
        </is>
      </c>
    </row>
    <row r="29">
      <c r="A29" s="9" t="inlineStr">
        <is>
          <t>Greenville</t>
        </is>
      </c>
      <c r="B29" s="10" t="n">
        <v>46273</v>
      </c>
      <c r="C29" s="9" t="n">
        <v>21</v>
      </c>
      <c r="D29" s="11" t="inlineStr">
        <is>
          <t>2026-CP-23-01255</t>
        </is>
      </c>
      <c r="E29" s="11" t="inlineStr">
        <is>
          <t>withdrawn</t>
        </is>
      </c>
      <c r="F29" s="9" t="inlineStr">
        <is>
          <t>23 Chinaberry Lane Simpsonville, SC 29680</t>
        </is>
      </c>
      <c r="G29" s="11" t="n"/>
      <c r="H29" s="9" t="inlineStr">
        <is>
          <t>Truist Bank</t>
        </is>
      </c>
      <c r="I29" s="9" t="inlineStr">
        <is>
          <t>Doris B. Pressley</t>
        </is>
      </c>
      <c r="J29" s="11" t="inlineStr">
        <is>
          <t>waived</t>
        </is>
      </c>
      <c r="K29" s="12" t="n"/>
      <c r="L29" s="10" t="n"/>
      <c r="M29" s="12" t="n"/>
      <c r="N29" s="11">
        <f>IF(OR(B29="",L29=""),"",MAX(0,B29-L29))</f>
        <v/>
      </c>
      <c r="O29" s="12">
        <f>IF(K29="","",K29+IF(OR(M29="",N29=""),0,M29*N29))</f>
        <v/>
      </c>
      <c r="P29" s="11" t="n"/>
      <c r="Q29" s="12" t="n"/>
      <c r="R29" s="13">
        <f>IF(OR(Q29="",Q29=0,O29=""),"",O29/Q29)</f>
        <v/>
      </c>
      <c r="S29" s="11" t="n"/>
      <c r="T29" s="11" t="n"/>
      <c r="U29" s="11" t="n"/>
      <c r="V29" s="11" t="n"/>
      <c r="W29" s="11" t="n"/>
      <c r="X29" s="11" t="inlineStr"/>
      <c r="Y29" s="11" t="n"/>
      <c r="Z29" s="14" t="inlineStr">
        <is>
          <t>open</t>
        </is>
      </c>
      <c r="AA29" s="11" t="n"/>
      <c r="AB29" s="11" t="n"/>
      <c r="AC29" s="9" t="inlineStr">
        <is>
          <t>23 Chinaberry Lane Simpsonville, SC 29680. Judgment $ not pulled yet (needs the PC run). Deficiency waived — final on the day. STATUS: WITHDRAWN.</t>
        </is>
      </c>
    </row>
    <row r="30">
      <c r="A30" s="9" t="inlineStr">
        <is>
          <t>Greenville</t>
        </is>
      </c>
      <c r="B30" s="10" t="n">
        <v>46273</v>
      </c>
      <c r="C30" s="9" t="n">
        <v>22</v>
      </c>
      <c r="D30" s="11" t="inlineStr">
        <is>
          <t>2026-CP-23-01348</t>
        </is>
      </c>
      <c r="E30" s="11" t="inlineStr">
        <is>
          <t>withdrawn</t>
        </is>
      </c>
      <c r="F30" s="9" t="inlineStr">
        <is>
          <t>302 West Road Travelers Rest, SC 29690</t>
        </is>
      </c>
      <c r="G30" s="11" t="n"/>
      <c r="H30" s="9" t="inlineStr">
        <is>
          <t>Rocket Mortgage, LLC f/k/a Quicken Loans, LLC</t>
        </is>
      </c>
      <c r="I30" s="9" t="inlineStr">
        <is>
          <t>Wanda Brown</t>
        </is>
      </c>
      <c r="J30" s="11" t="inlineStr">
        <is>
          <t>waived</t>
        </is>
      </c>
      <c r="K30" s="12" t="n"/>
      <c r="L30" s="10" t="n"/>
      <c r="M30" s="12" t="n"/>
      <c r="N30" s="11">
        <f>IF(OR(B30="",L30=""),"",MAX(0,B30-L30))</f>
        <v/>
      </c>
      <c r="O30" s="12">
        <f>IF(K30="","",K30+IF(OR(M30="",N30=""),0,M30*N30))</f>
        <v/>
      </c>
      <c r="P30" s="11" t="n"/>
      <c r="Q30" s="12" t="n"/>
      <c r="R30" s="13">
        <f>IF(OR(Q30="",Q30=0,O30=""),"",O30/Q30)</f>
        <v/>
      </c>
      <c r="S30" s="11" t="n"/>
      <c r="T30" s="11" t="n"/>
      <c r="U30" s="11" t="n"/>
      <c r="V30" s="11" t="n"/>
      <c r="W30" s="11" t="n"/>
      <c r="X30" s="11" t="inlineStr"/>
      <c r="Y30" s="11" t="n"/>
      <c r="Z30" s="14" t="inlineStr">
        <is>
          <t>open</t>
        </is>
      </c>
      <c r="AA30" s="11" t="n"/>
      <c r="AB30" s="11" t="n"/>
      <c r="AC30" s="9" t="inlineStr">
        <is>
          <t>302 West Road Travelers Rest, SC 29690. Judgment $ not pulled yet (needs the PC run). Deficiency waived — final on the day. STATUS: WITHDRAWN.</t>
        </is>
      </c>
    </row>
    <row r="31">
      <c r="A31" s="9" t="inlineStr">
        <is>
          <t>Greenville</t>
        </is>
      </c>
      <c r="B31" s="10" t="n">
        <v>46273</v>
      </c>
      <c r="C31" s="9" t="n">
        <v>23</v>
      </c>
      <c r="D31" s="11" t="inlineStr">
        <is>
          <t>2026-CP-23-01483</t>
        </is>
      </c>
      <c r="E31" s="11" t="inlineStr">
        <is>
          <t>scheduled</t>
        </is>
      </c>
      <c r="F31" s="9" t="inlineStr">
        <is>
          <t>304 Glenlea Ln Greenville, SC 29617</t>
        </is>
      </c>
      <c r="G31" s="11" t="n"/>
      <c r="H31" s="9" t="inlineStr">
        <is>
          <t>Finance of America Reverse LLC</t>
        </is>
      </c>
      <c r="I31" s="9" t="inlineStr">
        <is>
          <t>Robert Luther Ellis, Jr as Personal Representative for the Estate of Beverly Staton</t>
        </is>
      </c>
      <c r="J31" s="11" t="inlineStr">
        <is>
          <t>waived</t>
        </is>
      </c>
      <c r="K31" s="12" t="n">
        <v>153841.1</v>
      </c>
      <c r="L31" s="10" t="n"/>
      <c r="M31" s="12" t="n"/>
      <c r="N31" s="11">
        <f>IF(OR(B31="",L31=""),"",MAX(0,B31-L31))</f>
        <v/>
      </c>
      <c r="O31" s="12">
        <f>IF(K31="","",K31+IF(OR(M31="",N31=""),0,M31*N31))</f>
        <v/>
      </c>
      <c r="P31" s="11" t="n"/>
      <c r="Q31" s="12" t="n">
        <v>224920</v>
      </c>
      <c r="R31" s="13">
        <f>IF(OR(Q31="",Q31=0,O31=""),"",O31/Q31)</f>
        <v/>
      </c>
      <c r="S31" s="11" t="inlineStr">
        <is>
          <t>0.120</t>
        </is>
      </c>
      <c r="T31" s="11" t="inlineStr">
        <is>
          <t>1100 (Single Family)</t>
        </is>
      </c>
      <c r="U31" s="11" t="n"/>
      <c r="V31" s="11" t="n"/>
      <c r="W31" s="11" t="inlineStr">
        <is>
          <t>Staton Beverly</t>
        </is>
      </c>
      <c r="X31" s="11" t="inlineStr">
        <is>
          <t>11/15/2004 $105,000</t>
        </is>
      </c>
      <c r="Y31" s="14" t="inlineStr">
        <is>
          <t>open</t>
        </is>
      </c>
      <c r="Z31" s="14" t="inlineStr">
        <is>
          <t>open</t>
        </is>
      </c>
      <c r="AA31" s="11" t="n"/>
      <c r="AB31" s="14" t="inlineStr">
        <is>
          <t>open</t>
        </is>
      </c>
      <c r="AC31" s="9" t="inlineStr">
        <is>
          <t>304 Glenlea Ln Greenville, SC 29617 — 1100 (Single Family) — 0.120 ac (The Village At Glenlea). Record owner Staton Beverly. Last transfer 11/15/2004 for $105,000. County FMV $224,920.00. Judgment $153,841.10. Debt is 68% of FMV — real equity, expect third-party bidding. Deficiency waived — final on the day.</t>
        </is>
      </c>
    </row>
    <row r="32">
      <c r="A32" s="9" t="inlineStr">
        <is>
          <t>Greenville</t>
        </is>
      </c>
      <c r="B32" s="10" t="n">
        <v>46273</v>
      </c>
      <c r="C32" s="9" t="n">
        <v>24</v>
      </c>
      <c r="D32" s="11" t="inlineStr">
        <is>
          <t>2026-CP-23-02327</t>
        </is>
      </c>
      <c r="E32" s="11" t="inlineStr">
        <is>
          <t>scheduled</t>
        </is>
      </c>
      <c r="F32" s="9" t="inlineStr">
        <is>
          <t>71 Dorsey Avenue Greenville, SC 29611</t>
        </is>
      </c>
      <c r="G32" s="11" t="n"/>
      <c r="H32" s="9" t="inlineStr">
        <is>
          <t>Wilmington Savings Fund Society, FSB, as Owner Trustee for the FLIC Residential Mortgage Loan Trust 1</t>
        </is>
      </c>
      <c r="I32" s="9" t="inlineStr">
        <is>
          <t>VSWC LLC</t>
        </is>
      </c>
      <c r="J32" s="11" t="inlineStr">
        <is>
          <t>waived</t>
        </is>
      </c>
      <c r="K32" s="12" t="n">
        <v>246879.23</v>
      </c>
      <c r="L32" s="10" t="n"/>
      <c r="M32" s="12" t="n"/>
      <c r="N32" s="11">
        <f>IF(OR(B32="",L32=""),"",MAX(0,B32-L32))</f>
        <v/>
      </c>
      <c r="O32" s="12">
        <f>IF(K32="","",K32+IF(OR(M32="",N32=""),0,M32*N32))</f>
        <v/>
      </c>
      <c r="P32" s="11" t="n"/>
      <c r="Q32" s="12" t="n">
        <v>246770</v>
      </c>
      <c r="R32" s="13">
        <f>IF(OR(Q32="",Q32=0,O32=""),"",O32/Q32)</f>
        <v/>
      </c>
      <c r="S32" s="11" t="inlineStr">
        <is>
          <t>0.210</t>
        </is>
      </c>
      <c r="T32" s="11" t="inlineStr">
        <is>
          <t>1100 (Single Family)</t>
        </is>
      </c>
      <c r="U32" s="11" t="n"/>
      <c r="V32" s="11" t="n"/>
      <c r="W32" s="11" t="inlineStr">
        <is>
          <t>Vswc Llc</t>
        </is>
      </c>
      <c r="X32" s="11" t="inlineStr">
        <is>
          <t>10/05/2021 $100,000</t>
        </is>
      </c>
      <c r="Y32" s="14" t="inlineStr">
        <is>
          <t>open</t>
        </is>
      </c>
      <c r="Z32" s="14" t="inlineStr">
        <is>
          <t>open</t>
        </is>
      </c>
      <c r="AA32" s="11" t="n"/>
      <c r="AB32" s="14" t="inlineStr">
        <is>
          <t>open</t>
        </is>
      </c>
      <c r="AC32" s="9" t="inlineStr">
        <is>
          <t>71 Dorsey Avenue Greenville, SC 29611 — 1100 (Single Family) — 0.210 ac (Abney Mills). Record owner Vswc Llc. Last transfer 10/05/2021 for $100,000. County FMV $246,770.00. Judgment $246,879.23. Debt exceeds FMV (100%) — plaintiff will likely take it back. Deficiency waived — final on the day.</t>
        </is>
      </c>
    </row>
    <row r="33">
      <c r="A33" s="9" t="inlineStr">
        <is>
          <t>Greenville</t>
        </is>
      </c>
      <c r="B33" s="10" t="n">
        <v>46273</v>
      </c>
      <c r="C33" s="9" t="n">
        <v>25</v>
      </c>
      <c r="D33" s="11" t="inlineStr">
        <is>
          <t>2026-CP-23-02343</t>
        </is>
      </c>
      <c r="E33" s="11" t="inlineStr">
        <is>
          <t>scheduled</t>
        </is>
      </c>
      <c r="F33" s="9" t="inlineStr">
        <is>
          <t>37 Ross Street Greenville, SC 29611</t>
        </is>
      </c>
      <c r="G33" s="11" t="n"/>
      <c r="H33" s="9" t="inlineStr">
        <is>
          <t>Wilmington Savings Fund Society, FSB, as Trustee of NMLT 2021-INV1 Trust</t>
        </is>
      </c>
      <c r="I33" s="9" t="inlineStr">
        <is>
          <t>VSWC LLC</t>
        </is>
      </c>
      <c r="J33" s="11" t="inlineStr">
        <is>
          <t>waived</t>
        </is>
      </c>
      <c r="K33" s="12" t="n">
        <v>159379.2</v>
      </c>
      <c r="L33" s="10" t="n"/>
      <c r="M33" s="12" t="n"/>
      <c r="N33" s="11">
        <f>IF(OR(B33="",L33=""),"",MAX(0,B33-L33))</f>
        <v/>
      </c>
      <c r="O33" s="12">
        <f>IF(K33="","",K33+IF(OR(M33="",N33=""),0,M33*N33))</f>
        <v/>
      </c>
      <c r="P33" s="11" t="n"/>
      <c r="Q33" s="12" t="n">
        <v>183180</v>
      </c>
      <c r="R33" s="13">
        <f>IF(OR(Q33="",Q33=0,O33=""),"",O33/Q33)</f>
        <v/>
      </c>
      <c r="S33" s="11" t="inlineStr">
        <is>
          <t>0</t>
        </is>
      </c>
      <c r="T33" s="11" t="inlineStr">
        <is>
          <t>1100 (Single Family)</t>
        </is>
      </c>
      <c r="U33" s="11" t="n"/>
      <c r="V33" s="11" t="n"/>
      <c r="W33" s="11" t="inlineStr">
        <is>
          <t>Vswc Llc</t>
        </is>
      </c>
      <c r="X33" s="11" t="inlineStr">
        <is>
          <t>05/21/2020 $10</t>
        </is>
      </c>
      <c r="Y33" s="14" t="inlineStr">
        <is>
          <t>open</t>
        </is>
      </c>
      <c r="Z33" s="14" t="inlineStr">
        <is>
          <t>open</t>
        </is>
      </c>
      <c r="AA33" s="11" t="n"/>
      <c r="AB33" s="14" t="inlineStr">
        <is>
          <t>open</t>
        </is>
      </c>
      <c r="AC33" s="9" t="inlineStr">
        <is>
          <t>37 Ross Street Greenville, SC 29611 — 1100 (Single Family). Record owner Vswc Llc. Last transfer 05/21/2020 for $10. County FMV $183,180.00. Judgment $159,379.20. Debt is 87% of FMV — thin margin. Deficiency waived — final on the day.</t>
        </is>
      </c>
    </row>
    <row r="34">
      <c r="A34" s="9" t="inlineStr">
        <is>
          <t>Greenville</t>
        </is>
      </c>
      <c r="B34" s="10" t="n">
        <v>46273</v>
      </c>
      <c r="C34" s="9" t="n">
        <v>26</v>
      </c>
      <c r="D34" s="11" t="inlineStr">
        <is>
          <t>2026-CP-23-02408</t>
        </is>
      </c>
      <c r="E34" s="11" t="inlineStr">
        <is>
          <t>scheduled</t>
        </is>
      </c>
      <c r="F34" s="9" t="inlineStr">
        <is>
          <t>11 Charing Cross Road Taylors, SC 29687</t>
        </is>
      </c>
      <c r="G34" s="11" t="n"/>
      <c r="H34" s="9" t="inlineStr">
        <is>
          <t>Wilmington Savings Fund Society, FSB, as trustee for Ibis Holdings A Trust</t>
        </is>
      </c>
      <c r="I34" s="9" t="inlineStr">
        <is>
          <t>GRM Properties</t>
        </is>
      </c>
      <c r="J34" s="11" t="inlineStr">
        <is>
          <t>demanded</t>
        </is>
      </c>
      <c r="K34" s="12" t="n">
        <v>219174.3</v>
      </c>
      <c r="L34" s="10" t="n"/>
      <c r="M34" s="12" t="n"/>
      <c r="N34" s="11">
        <f>IF(OR(B34="",L34=""),"",MAX(0,B34-L34))</f>
        <v/>
      </c>
      <c r="O34" s="12">
        <f>IF(K34="","",K34+IF(OR(M34="",N34=""),0,M34*N34))</f>
        <v/>
      </c>
      <c r="P34" s="11" t="n"/>
      <c r="Q34" s="12" t="n">
        <v>267670</v>
      </c>
      <c r="R34" s="13">
        <f>IF(OR(Q34="",Q34=0,O34=""),"",O34/Q34)</f>
        <v/>
      </c>
      <c r="S34" s="11" t="inlineStr">
        <is>
          <t>0</t>
        </is>
      </c>
      <c r="T34" s="11" t="inlineStr">
        <is>
          <t>1100 (Single Family)</t>
        </is>
      </c>
      <c r="U34" s="11" t="n"/>
      <c r="V34" s="11" t="n"/>
      <c r="W34" s="11" t="inlineStr">
        <is>
          <t>Grm Properties Of South Caroli</t>
        </is>
      </c>
      <c r="X34" s="11" t="inlineStr">
        <is>
          <t>08/12/2022 $235,000</t>
        </is>
      </c>
      <c r="Y34" s="14" t="inlineStr">
        <is>
          <t>open</t>
        </is>
      </c>
      <c r="Z34" s="14" t="inlineStr">
        <is>
          <t>open</t>
        </is>
      </c>
      <c r="AA34" s="11" t="n"/>
      <c r="AB34" s="14" t="inlineStr">
        <is>
          <t>open</t>
        </is>
      </c>
      <c r="AC34" s="9" t="inlineStr">
        <is>
          <t>11 Charing Cross Road Taylors, SC 29687 — 1100 (Single Family) (Brookwood Forest). Record owner Grm Properties Of South Caroli. Last transfer 08/12/2022 for $235,000. County FMV $267,670.00. Judgment $219,174.30. Debt is 82% of FMV — thin margin. DEFICIENCY DEMANDED — open 30 days.</t>
        </is>
      </c>
    </row>
    <row r="35">
      <c r="A35" s="9" t="inlineStr">
        <is>
          <t>Greenville</t>
        </is>
      </c>
      <c r="B35" s="10" t="n">
        <v>46273</v>
      </c>
      <c r="C35" s="9" t="n">
        <v>27</v>
      </c>
      <c r="D35" s="11" t="inlineStr">
        <is>
          <t>2026-CP-23-02884</t>
        </is>
      </c>
      <c r="E35" s="11" t="inlineStr">
        <is>
          <t>scheduled</t>
        </is>
      </c>
      <c r="F35" s="9" t="inlineStr">
        <is>
          <t>2501 Poinsett Highway Greenville, SC 29609</t>
        </is>
      </c>
      <c r="G35" s="11" t="n"/>
      <c r="H35" s="9" t="inlineStr">
        <is>
          <t>ALFIE Investors LLC</t>
        </is>
      </c>
      <c r="I35" s="9" t="inlineStr">
        <is>
          <t>2501 Poinsette LLC</t>
        </is>
      </c>
      <c r="J35" s="11" t="inlineStr">
        <is>
          <t>demanded</t>
        </is>
      </c>
      <c r="K35" s="12" t="n">
        <v>301030.64</v>
      </c>
      <c r="L35" s="10" t="n"/>
      <c r="M35" s="12" t="n"/>
      <c r="N35" s="11">
        <f>IF(OR(B35="",L35=""),"",MAX(0,B35-L35))</f>
        <v/>
      </c>
      <c r="O35" s="12">
        <f>IF(K35="","",K35+IF(OR(M35="",N35=""),0,M35*N35))</f>
        <v/>
      </c>
      <c r="P35" s="11" t="n"/>
      <c r="Q35" s="12" t="n">
        <v>306870</v>
      </c>
      <c r="R35" s="13">
        <f>IF(OR(Q35="",Q35=0,O35=""),"",O35/Q35)</f>
        <v/>
      </c>
      <c r="S35" s="11" t="inlineStr">
        <is>
          <t>0</t>
        </is>
      </c>
      <c r="T35" s="11" t="inlineStr">
        <is>
          <t>1100 (Single Family)</t>
        </is>
      </c>
      <c r="U35" s="11" t="n"/>
      <c r="V35" s="11" t="n"/>
      <c r="W35" s="11" t="inlineStr">
        <is>
          <t>2501 Poinsette Llc</t>
        </is>
      </c>
      <c r="X35" s="11" t="inlineStr">
        <is>
          <t>05/02/2022 $130,000</t>
        </is>
      </c>
      <c r="Y35" s="14" t="inlineStr">
        <is>
          <t>open</t>
        </is>
      </c>
      <c r="Z35" s="14" t="inlineStr">
        <is>
          <t>open</t>
        </is>
      </c>
      <c r="AA35" s="11" t="n"/>
      <c r="AB35" s="14" t="inlineStr">
        <is>
          <t>open</t>
        </is>
      </c>
      <c r="AC35" s="9" t="inlineStr">
        <is>
          <t>2501 Poinsett Highway Greenville, SC 29609 — 1100 (Single Family). Record owner 2501 Poinsette Llc. Last transfer 05/02/2022 for $130,000. County FMV $306,870.00. Judgment $301,030.64. Debt is 98% of FMV — thin margin. DEFICIENCY DEMANDED — open 30 days.</t>
        </is>
      </c>
    </row>
    <row r="36">
      <c r="A36" s="9" t="inlineStr">
        <is>
          <t>Greenville</t>
        </is>
      </c>
      <c r="B36" s="10" t="n">
        <v>46273</v>
      </c>
      <c r="C36" s="9" t="n">
        <v>28</v>
      </c>
      <c r="D36" s="11" t="inlineStr">
        <is>
          <t>2026-CP-23-03000</t>
        </is>
      </c>
      <c r="E36" s="11" t="inlineStr">
        <is>
          <t>scheduled</t>
        </is>
      </c>
      <c r="F36" s="9" t="inlineStr">
        <is>
          <t>202 Port Road Greenville, SC 29617</t>
        </is>
      </c>
      <c r="G36" s="11" t="n"/>
      <c r="H36" s="9" t="inlineStr">
        <is>
          <t>UMB Bank, National Association, as owner trustee for Verus Securitization Trust 2024-6</t>
        </is>
      </c>
      <c r="I36" s="9" t="inlineStr">
        <is>
          <t>Green Ant LLC</t>
        </is>
      </c>
      <c r="J36" s="11" t="inlineStr">
        <is>
          <t>waived</t>
        </is>
      </c>
      <c r="K36" s="12" t="n">
        <v>221056.42</v>
      </c>
      <c r="L36" s="10" t="n"/>
      <c r="M36" s="12" t="n"/>
      <c r="N36" s="11">
        <f>IF(OR(B36="",L36=""),"",MAX(0,B36-L36))</f>
        <v/>
      </c>
      <c r="O36" s="12">
        <f>IF(K36="","",K36+IF(OR(M36="",N36=""),0,M36*N36))</f>
        <v/>
      </c>
      <c r="P36" s="11" t="n"/>
      <c r="Q36" s="12" t="n">
        <v>249890</v>
      </c>
      <c r="R36" s="13">
        <f>IF(OR(Q36="",Q36=0,O36=""),"",O36/Q36)</f>
        <v/>
      </c>
      <c r="S36" s="11" t="inlineStr">
        <is>
          <t>0.590</t>
        </is>
      </c>
      <c r="T36" s="11" t="inlineStr">
        <is>
          <t>1100 (Single Family)</t>
        </is>
      </c>
      <c r="U36" s="11" t="n"/>
      <c r="V36" s="11" t="n"/>
      <c r="W36" s="11" t="inlineStr">
        <is>
          <t>Green Ant Llc</t>
        </is>
      </c>
      <c r="X36" s="11" t="inlineStr">
        <is>
          <t>05/16/2023 $249,900</t>
        </is>
      </c>
      <c r="Y36" s="14" t="inlineStr">
        <is>
          <t>open</t>
        </is>
      </c>
      <c r="Z36" s="14" t="inlineStr">
        <is>
          <t>open</t>
        </is>
      </c>
      <c r="AA36" s="11" t="n"/>
      <c r="AB36" s="14" t="inlineStr">
        <is>
          <t>open</t>
        </is>
      </c>
      <c r="AC36" s="9" t="inlineStr">
        <is>
          <t>202 Port Road Greenville, SC 29617 — 1100 (Single Family) — 0.590 ac (River Valley). Record owner Green Ant Llc. Last transfer 05/16/2023 for $249,900. County FMV $249,890.00. Judgment $221,056.42. Debt is 88% of FMV — thin margin. Deficiency waived — final on the day.</t>
        </is>
      </c>
    </row>
    <row r="37">
      <c r="A37" s="9" t="inlineStr">
        <is>
          <t>Greenville</t>
        </is>
      </c>
      <c r="B37" s="10" t="n">
        <v>46273</v>
      </c>
      <c r="C37" s="9" t="n">
        <v>29</v>
      </c>
      <c r="D37" s="11" t="inlineStr">
        <is>
          <t>2026-CP-23-03232</t>
        </is>
      </c>
      <c r="E37" s="11" t="inlineStr">
        <is>
          <t>withdrawn</t>
        </is>
      </c>
      <c r="F37" s="9" t="inlineStr">
        <is>
          <t>608 Kingsmoor Drive Simpsonville, SC 29681</t>
        </is>
      </c>
      <c r="G37" s="11" t="n"/>
      <c r="H37" s="9" t="inlineStr">
        <is>
          <t>Mortgage Solutions of Colorado, LLC d/b/a Mortgage Solutions Financial</t>
        </is>
      </c>
      <c r="I37" s="9" t="inlineStr">
        <is>
          <t>Josh Massengill</t>
        </is>
      </c>
      <c r="J37" s="11" t="inlineStr">
        <is>
          <t>waived</t>
        </is>
      </c>
      <c r="K37" s="12" t="n"/>
      <c r="L37" s="10" t="n"/>
      <c r="M37" s="12" t="n"/>
      <c r="N37" s="11">
        <f>IF(OR(B37="",L37=""),"",MAX(0,B37-L37))</f>
        <v/>
      </c>
      <c r="O37" s="12">
        <f>IF(K37="","",K37+IF(OR(M37="",N37=""),0,M37*N37))</f>
        <v/>
      </c>
      <c r="P37" s="11" t="n"/>
      <c r="Q37" s="12" t="n"/>
      <c r="R37" s="13">
        <f>IF(OR(Q37="",Q37=0,O37=""),"",O37/Q37)</f>
        <v/>
      </c>
      <c r="S37" s="11" t="n"/>
      <c r="T37" s="11" t="n"/>
      <c r="U37" s="11" t="n"/>
      <c r="V37" s="11" t="n"/>
      <c r="W37" s="11" t="n"/>
      <c r="X37" s="11" t="inlineStr"/>
      <c r="Y37" s="11" t="n"/>
      <c r="Z37" s="14" t="inlineStr">
        <is>
          <t>open</t>
        </is>
      </c>
      <c r="AA37" s="11" t="n"/>
      <c r="AB37" s="11" t="n"/>
      <c r="AC37" s="9" t="inlineStr">
        <is>
          <t>608 Kingsmoor Drive Simpsonville, SC 29681. Judgment $ not pulled yet (needs the PC run). Deficiency waived — final on the day. STATUS: WITHDRAWN.</t>
        </is>
      </c>
    </row>
    <row r="38">
      <c r="A38" s="9" t="inlineStr">
        <is>
          <t>Horry</t>
        </is>
      </c>
      <c r="B38" s="10" t="n">
        <v>46273</v>
      </c>
      <c r="C38" s="9" t="n"/>
      <c r="D38" s="11" t="inlineStr">
        <is>
          <t>2026-CP-26-02004</t>
        </is>
      </c>
      <c r="E38" s="11" t="inlineStr">
        <is>
          <t>scheduled</t>
        </is>
      </c>
      <c r="F38" s="9" t="inlineStr">
        <is>
          <t>1207 S Ocean Blvd, Unit 50801, Myrtle Beach, SC 29577</t>
        </is>
      </c>
      <c r="G38" s="11" t="inlineStr">
        <is>
          <t>1811302158</t>
        </is>
      </c>
      <c r="H38" s="9" t="inlineStr"/>
      <c r="I38" s="9" t="inlineStr"/>
      <c r="J38" s="11" t="inlineStr">
        <is>
          <t>demanded</t>
        </is>
      </c>
      <c r="K38" s="12" t="n">
        <v>77686.28999999999</v>
      </c>
      <c r="L38" s="10" t="n"/>
      <c r="M38" s="12" t="n"/>
      <c r="N38" s="11">
        <f>IF(OR(B38="",L38=""),"",MAX(0,B38-L38))</f>
        <v/>
      </c>
      <c r="O38" s="12">
        <f>IF(K38="","",K38+IF(OR(M38="",N38=""),0,M38*N38))</f>
        <v/>
      </c>
      <c r="P38" s="11" t="n"/>
      <c r="Q38" s="12" t="n"/>
      <c r="R38" s="13">
        <f>IF(OR(Q38="",Q38=0,O38=""),"",O38/Q38)</f>
        <v/>
      </c>
      <c r="S38" s="11" t="n"/>
      <c r="T38" s="11" t="n"/>
      <c r="U38" s="11" t="n"/>
      <c r="V38" s="11" t="n"/>
      <c r="W38" s="11" t="n"/>
      <c r="X38" s="11" t="inlineStr"/>
      <c r="Y38" s="14" t="inlineStr">
        <is>
          <t>open</t>
        </is>
      </c>
      <c r="Z38" s="11" t="n"/>
      <c r="AA38" s="11" t="n"/>
      <c r="AB38" s="11" t="n"/>
      <c r="AC38" s="9" t="inlineStr">
        <is>
          <t>1207 S Ocean Blvd, Unit 50801, Myrtle Beach, SC 29577. Judgment $77,686.29. DEFICIENCY DEMANDED — open 30 days.</t>
        </is>
      </c>
    </row>
    <row r="39">
      <c r="A39" s="9" t="inlineStr">
        <is>
          <t>Horry</t>
        </is>
      </c>
      <c r="B39" s="10" t="n">
        <v>46273</v>
      </c>
      <c r="C39" s="9" t="n"/>
      <c r="D39" s="11" t="inlineStr">
        <is>
          <t>2026-CP-26-02004</t>
        </is>
      </c>
      <c r="E39" s="11" t="inlineStr">
        <is>
          <t>scheduled</t>
        </is>
      </c>
      <c r="F39" s="9" t="inlineStr">
        <is>
          <t>1207 S Ocean Blvd, Unit 50901, Myrtle Beach, SC 29577</t>
        </is>
      </c>
      <c r="G39" s="11" t="inlineStr">
        <is>
          <t>1811302171</t>
        </is>
      </c>
      <c r="H39" s="9" t="inlineStr"/>
      <c r="I39" s="9" t="inlineStr"/>
      <c r="J39" s="11" t="inlineStr">
        <is>
          <t>demanded</t>
        </is>
      </c>
      <c r="K39" s="12" t="n">
        <v>77686.28999999999</v>
      </c>
      <c r="L39" s="10" t="n"/>
      <c r="M39" s="12" t="n"/>
      <c r="N39" s="11">
        <f>IF(OR(B39="",L39=""),"",MAX(0,B39-L39))</f>
        <v/>
      </c>
      <c r="O39" s="12">
        <f>IF(K39="","",K39+IF(OR(M39="",N39=""),0,M39*N39))</f>
        <v/>
      </c>
      <c r="P39" s="11" t="n"/>
      <c r="Q39" s="12" t="n"/>
      <c r="R39" s="13">
        <f>IF(OR(Q39="",Q39=0,O39=""),"",O39/Q39)</f>
        <v/>
      </c>
      <c r="S39" s="11" t="n"/>
      <c r="T39" s="11" t="n"/>
      <c r="U39" s="11" t="n"/>
      <c r="V39" s="11" t="n"/>
      <c r="W39" s="11" t="n"/>
      <c r="X39" s="11" t="inlineStr"/>
      <c r="Y39" s="14" t="inlineStr">
        <is>
          <t>open</t>
        </is>
      </c>
      <c r="Z39" s="11" t="n"/>
      <c r="AA39" s="11" t="n"/>
      <c r="AB39" s="11" t="n"/>
      <c r="AC39" s="9" t="inlineStr">
        <is>
          <t>1207 S Ocean Blvd, Unit 50901, Myrtle Beach, SC 29577. Judgment $77,686.29. DEFICIENCY DEMANDED — open 30 days.</t>
        </is>
      </c>
    </row>
    <row r="40">
      <c r="A40" s="9" t="inlineStr">
        <is>
          <t>Horry</t>
        </is>
      </c>
      <c r="B40" s="10" t="n">
        <v>46273</v>
      </c>
      <c r="C40" s="9" t="n"/>
      <c r="D40" s="11" t="inlineStr">
        <is>
          <t>2026-CP-26-02004</t>
        </is>
      </c>
      <c r="E40" s="11" t="inlineStr">
        <is>
          <t>scheduled</t>
        </is>
      </c>
      <c r="F40" s="9" t="inlineStr">
        <is>
          <t>1207 S Ocean Blvd, Unit 50902, Myrtle Beach, SC 29577</t>
        </is>
      </c>
      <c r="G40" s="11" t="inlineStr">
        <is>
          <t>1811302172</t>
        </is>
      </c>
      <c r="H40" s="9" t="inlineStr"/>
      <c r="I40" s="9" t="inlineStr"/>
      <c r="J40" s="11" t="inlineStr">
        <is>
          <t>demanded</t>
        </is>
      </c>
      <c r="K40" s="12" t="n">
        <v>77686.28999999999</v>
      </c>
      <c r="L40" s="10" t="n"/>
      <c r="M40" s="12" t="n"/>
      <c r="N40" s="11">
        <f>IF(OR(B40="",L40=""),"",MAX(0,B40-L40))</f>
        <v/>
      </c>
      <c r="O40" s="12">
        <f>IF(K40="","",K40+IF(OR(M40="",N40=""),0,M40*N40))</f>
        <v/>
      </c>
      <c r="P40" s="11" t="n"/>
      <c r="Q40" s="12" t="n"/>
      <c r="R40" s="13">
        <f>IF(OR(Q40="",Q40=0,O40=""),"",O40/Q40)</f>
        <v/>
      </c>
      <c r="S40" s="11" t="n"/>
      <c r="T40" s="11" t="n"/>
      <c r="U40" s="11" t="n"/>
      <c r="V40" s="11" t="n"/>
      <c r="W40" s="11" t="n"/>
      <c r="X40" s="11" t="inlineStr"/>
      <c r="Y40" s="14" t="inlineStr">
        <is>
          <t>open</t>
        </is>
      </c>
      <c r="Z40" s="11" t="n"/>
      <c r="AA40" s="11" t="n"/>
      <c r="AB40" s="11" t="n"/>
      <c r="AC40" s="9" t="inlineStr">
        <is>
          <t>1207 S Ocean Blvd, Unit 50902, Myrtle Beach, SC 29577. Judgment $77,686.29. DEFICIENCY DEMANDED — open 30 days.</t>
        </is>
      </c>
    </row>
    <row r="41">
      <c r="A41" s="9" t="inlineStr">
        <is>
          <t>Horry</t>
        </is>
      </c>
      <c r="B41" s="10" t="n">
        <v>46273</v>
      </c>
      <c r="C41" s="9" t="n"/>
      <c r="D41" s="11" t="inlineStr">
        <is>
          <t>2026-CP-26-02004</t>
        </is>
      </c>
      <c r="E41" s="11" t="inlineStr">
        <is>
          <t>scheduled</t>
        </is>
      </c>
      <c r="F41" s="9" t="inlineStr">
        <is>
          <t>1207 S Ocean Blvd, Unit 51002, Myrtle Beach, SC 29577</t>
        </is>
      </c>
      <c r="G41" s="11" t="inlineStr">
        <is>
          <t>1811302185</t>
        </is>
      </c>
      <c r="H41" s="9" t="inlineStr"/>
      <c r="I41" s="9" t="inlineStr"/>
      <c r="J41" s="11" t="inlineStr">
        <is>
          <t>demanded</t>
        </is>
      </c>
      <c r="K41" s="12" t="n">
        <v>77871.12</v>
      </c>
      <c r="L41" s="10" t="n"/>
      <c r="M41" s="12" t="n"/>
      <c r="N41" s="11">
        <f>IF(OR(B41="",L41=""),"",MAX(0,B41-L41))</f>
        <v/>
      </c>
      <c r="O41" s="12">
        <f>IF(K41="","",K41+IF(OR(M41="",N41=""),0,M41*N41))</f>
        <v/>
      </c>
      <c r="P41" s="11" t="n"/>
      <c r="Q41" s="12" t="n"/>
      <c r="R41" s="13">
        <f>IF(OR(Q41="",Q41=0,O41=""),"",O41/Q41)</f>
        <v/>
      </c>
      <c r="S41" s="11" t="n"/>
      <c r="T41" s="11" t="n"/>
      <c r="U41" s="11" t="n"/>
      <c r="V41" s="11" t="n"/>
      <c r="W41" s="11" t="n"/>
      <c r="X41" s="11" t="inlineStr"/>
      <c r="Y41" s="14" t="inlineStr">
        <is>
          <t>open</t>
        </is>
      </c>
      <c r="Z41" s="11" t="n"/>
      <c r="AA41" s="11" t="n"/>
      <c r="AB41" s="11" t="n"/>
      <c r="AC41" s="9" t="inlineStr">
        <is>
          <t>1207 S Ocean Blvd, Unit 51002, Myrtle Beach, SC 29577. Judgment $77,871.12. DEFICIENCY DEMANDED — open 30 days.</t>
        </is>
      </c>
    </row>
    <row r="42">
      <c r="A42" s="9" t="inlineStr">
        <is>
          <t>Horry</t>
        </is>
      </c>
      <c r="B42" s="10" t="n">
        <v>46273</v>
      </c>
      <c r="C42" s="9" t="n"/>
      <c r="D42" s="11" t="inlineStr">
        <is>
          <t>2026-CP-26-00352</t>
        </is>
      </c>
      <c r="E42" s="11" t="inlineStr">
        <is>
          <t>scheduled</t>
        </is>
      </c>
      <c r="F42" s="9" t="inlineStr">
        <is>
          <t>4405 Hwy 378, Conway, SC 29527</t>
        </is>
      </c>
      <c r="G42" s="11" t="inlineStr">
        <is>
          <t>1350002025</t>
        </is>
      </c>
      <c r="H42" s="9" t="inlineStr"/>
      <c r="I42" s="9" t="inlineStr"/>
      <c r="J42" s="11" t="inlineStr">
        <is>
          <t>waived</t>
        </is>
      </c>
      <c r="K42" s="12" t="n">
        <v>321970.72</v>
      </c>
      <c r="L42" s="10" t="n"/>
      <c r="M42" s="12" t="n"/>
      <c r="N42" s="11">
        <f>IF(OR(B42="",L42=""),"",MAX(0,B42-L42))</f>
        <v/>
      </c>
      <c r="O42" s="12">
        <f>IF(K42="","",K42+IF(OR(M42="",N42=""),0,M42*N42))</f>
        <v/>
      </c>
      <c r="P42" s="11" t="n"/>
      <c r="Q42" s="12" t="n"/>
      <c r="R42" s="13">
        <f>IF(OR(Q42="",Q42=0,O42=""),"",O42/Q42)</f>
        <v/>
      </c>
      <c r="S42" s="11" t="n"/>
      <c r="T42" s="11" t="n"/>
      <c r="U42" s="11" t="n"/>
      <c r="V42" s="11" t="n"/>
      <c r="W42" s="11" t="n"/>
      <c r="X42" s="11" t="inlineStr"/>
      <c r="Y42" s="14" t="inlineStr">
        <is>
          <t>open</t>
        </is>
      </c>
      <c r="Z42" s="11" t="n"/>
      <c r="AA42" s="11" t="n"/>
      <c r="AB42" s="11" t="n"/>
      <c r="AC42" s="9" t="inlineStr">
        <is>
          <t>4405 Hwy 378, Conway, SC 29527. Judgment $321,970.72. Deficiency waived — final on the day.</t>
        </is>
      </c>
    </row>
    <row r="43">
      <c r="A43" s="9" t="inlineStr">
        <is>
          <t>Horry</t>
        </is>
      </c>
      <c r="B43" s="10" t="n">
        <v>46273</v>
      </c>
      <c r="C43" s="9" t="n"/>
      <c r="D43" s="11" t="inlineStr">
        <is>
          <t>2026-CP-26-00505</t>
        </is>
      </c>
      <c r="E43" s="11" t="inlineStr">
        <is>
          <t>scheduled</t>
        </is>
      </c>
      <c r="F43" s="9" t="inlineStr">
        <is>
          <t>3004 Sawyer Street, Conway, SC 29527</t>
        </is>
      </c>
      <c r="G43" s="11" t="inlineStr">
        <is>
          <t>1361206049</t>
        </is>
      </c>
      <c r="H43" s="9" t="inlineStr"/>
      <c r="I43" s="9" t="inlineStr"/>
      <c r="J43" s="11" t="inlineStr">
        <is>
          <t>demanded</t>
        </is>
      </c>
      <c r="K43" s="12" t="n">
        <v>110851.62</v>
      </c>
      <c r="L43" s="10" t="n"/>
      <c r="M43" s="12" t="n"/>
      <c r="N43" s="11">
        <f>IF(OR(B43="",L43=""),"",MAX(0,B43-L43))</f>
        <v/>
      </c>
      <c r="O43" s="12">
        <f>IF(K43="","",K43+IF(OR(M43="",N43=""),0,M43*N43))</f>
        <v/>
      </c>
      <c r="P43" s="11" t="n"/>
      <c r="Q43" s="12" t="n"/>
      <c r="R43" s="13">
        <f>IF(OR(Q43="",Q43=0,O43=""),"",O43/Q43)</f>
        <v/>
      </c>
      <c r="S43" s="11" t="n"/>
      <c r="T43" s="11" t="n"/>
      <c r="U43" s="11" t="n"/>
      <c r="V43" s="11" t="n"/>
      <c r="W43" s="11" t="n"/>
      <c r="X43" s="11" t="inlineStr"/>
      <c r="Y43" s="14" t="inlineStr">
        <is>
          <t>open</t>
        </is>
      </c>
      <c r="Z43" s="11" t="n"/>
      <c r="AA43" s="11" t="n"/>
      <c r="AB43" s="11" t="n"/>
      <c r="AC43" s="9" t="inlineStr">
        <is>
          <t>3004 Sawyer Street, Conway, SC 29527. Judgment $110,851.62. DEFICIENCY DEMANDED — open 30 days.</t>
        </is>
      </c>
    </row>
    <row r="44">
      <c r="A44" s="9" t="inlineStr">
        <is>
          <t>Horry</t>
        </is>
      </c>
      <c r="B44" s="10" t="n">
        <v>46273</v>
      </c>
      <c r="C44" s="9" t="n"/>
      <c r="D44" s="11" t="inlineStr">
        <is>
          <t>2025-CP-26-08343</t>
        </is>
      </c>
      <c r="E44" s="11" t="inlineStr">
        <is>
          <t>scheduled</t>
        </is>
      </c>
      <c r="F44" s="9" t="inlineStr">
        <is>
          <t>4149 Hibiscus Dr., Apt. 204, Little River, SC 29566</t>
        </is>
      </c>
      <c r="G44" s="11" t="inlineStr">
        <is>
          <t>1312802206</t>
        </is>
      </c>
      <c r="H44" s="9" t="inlineStr"/>
      <c r="I44" s="9" t="inlineStr"/>
      <c r="J44" s="11" t="inlineStr">
        <is>
          <t>waived</t>
        </is>
      </c>
      <c r="K44" s="12" t="n">
        <v>69762.07000000001</v>
      </c>
      <c r="L44" s="10" t="n"/>
      <c r="M44" s="12" t="n"/>
      <c r="N44" s="11">
        <f>IF(OR(B44="",L44=""),"",MAX(0,B44-L44))</f>
        <v/>
      </c>
      <c r="O44" s="12">
        <f>IF(K44="","",K44+IF(OR(M44="",N44=""),0,M44*N44))</f>
        <v/>
      </c>
      <c r="P44" s="11" t="n"/>
      <c r="Q44" s="12" t="n"/>
      <c r="R44" s="13">
        <f>IF(OR(Q44="",Q44=0,O44=""),"",O44/Q44)</f>
        <v/>
      </c>
      <c r="S44" s="11" t="n"/>
      <c r="T44" s="11" t="n"/>
      <c r="U44" s="11" t="n"/>
      <c r="V44" s="11" t="n"/>
      <c r="W44" s="11" t="n"/>
      <c r="X44" s="11" t="inlineStr"/>
      <c r="Y44" s="14" t="inlineStr">
        <is>
          <t>open</t>
        </is>
      </c>
      <c r="Z44" s="11" t="n"/>
      <c r="AA44" s="11" t="n"/>
      <c r="AB44" s="11" t="n"/>
      <c r="AC44" s="9" t="inlineStr">
        <is>
          <t>4149 Hibiscus Dr., Apt. 204, Little River, SC 29566. Judgment $69,762.07. Deficiency waived — final on the day.</t>
        </is>
      </c>
    </row>
    <row r="45">
      <c r="A45" s="9" t="inlineStr">
        <is>
          <t>Horry</t>
        </is>
      </c>
      <c r="B45" s="10" t="n">
        <v>46273</v>
      </c>
      <c r="C45" s="9" t="n"/>
      <c r="D45" s="11" t="inlineStr">
        <is>
          <t>2026-CP-26-01100</t>
        </is>
      </c>
      <c r="E45" s="11" t="inlineStr">
        <is>
          <t>scheduled</t>
        </is>
      </c>
      <c r="F45" s="9" t="inlineStr">
        <is>
          <t>1501 S Ocean Blvd., Unit 234, Myrtle Beach, SC 29577</t>
        </is>
      </c>
      <c r="G45" s="11" t="inlineStr">
        <is>
          <t>1870106170</t>
        </is>
      </c>
      <c r="H45" s="9" t="inlineStr"/>
      <c r="I45" s="9" t="inlineStr"/>
      <c r="J45" s="11" t="inlineStr">
        <is>
          <t>waived</t>
        </is>
      </c>
      <c r="K45" s="12" t="n">
        <v>68321.86</v>
      </c>
      <c r="L45" s="10" t="n"/>
      <c r="M45" s="12" t="n"/>
      <c r="N45" s="11">
        <f>IF(OR(B45="",L45=""),"",MAX(0,B45-L45))</f>
        <v/>
      </c>
      <c r="O45" s="12">
        <f>IF(K45="","",K45+IF(OR(M45="",N45=""),0,M45*N45))</f>
        <v/>
      </c>
      <c r="P45" s="11" t="n"/>
      <c r="Q45" s="12" t="n"/>
      <c r="R45" s="13">
        <f>IF(OR(Q45="",Q45=0,O45=""),"",O45/Q45)</f>
        <v/>
      </c>
      <c r="S45" s="11" t="n"/>
      <c r="T45" s="11" t="n"/>
      <c r="U45" s="11" t="n"/>
      <c r="V45" s="11" t="n"/>
      <c r="W45" s="11" t="n"/>
      <c r="X45" s="11" t="inlineStr"/>
      <c r="Y45" s="14" t="inlineStr">
        <is>
          <t>open</t>
        </is>
      </c>
      <c r="Z45" s="11" t="n"/>
      <c r="AA45" s="11" t="n"/>
      <c r="AB45" s="11" t="n"/>
      <c r="AC45" s="9" t="inlineStr">
        <is>
          <t>1501 S Ocean Blvd., Unit 234, Myrtle Beach, SC 29577. Judgment $68,321.86. Deficiency waived — final on the day.</t>
        </is>
      </c>
    </row>
    <row r="46">
      <c r="A46" s="9" t="inlineStr">
        <is>
          <t>Horry</t>
        </is>
      </c>
      <c r="B46" s="10" t="n">
        <v>46273</v>
      </c>
      <c r="C46" s="9" t="n"/>
      <c r="D46" s="11" t="inlineStr">
        <is>
          <t>2026-CP-26-00092</t>
        </is>
      </c>
      <c r="E46" s="11" t="inlineStr">
        <is>
          <t>scheduled</t>
        </is>
      </c>
      <c r="F46" s="9" t="inlineStr">
        <is>
          <t>1009 World Tour Blvd., Unit 101A, Myrtle Beach, SC 29579</t>
        </is>
      </c>
      <c r="G46" s="11" t="inlineStr">
        <is>
          <t>1723701365</t>
        </is>
      </c>
      <c r="H46" s="9" t="inlineStr"/>
      <c r="I46" s="9" t="inlineStr"/>
      <c r="J46" s="11" t="inlineStr">
        <is>
          <t>demanded</t>
        </is>
      </c>
      <c r="K46" s="12" t="n">
        <v>195340.71</v>
      </c>
      <c r="L46" s="10" t="n"/>
      <c r="M46" s="12" t="n"/>
      <c r="N46" s="11">
        <f>IF(OR(B46="",L46=""),"",MAX(0,B46-L46))</f>
        <v/>
      </c>
      <c r="O46" s="12">
        <f>IF(K46="","",K46+IF(OR(M46="",N46=""),0,M46*N46))</f>
        <v/>
      </c>
      <c r="P46" s="11" t="n"/>
      <c r="Q46" s="12" t="n"/>
      <c r="R46" s="13">
        <f>IF(OR(Q46="",Q46=0,O46=""),"",O46/Q46)</f>
        <v/>
      </c>
      <c r="S46" s="11" t="n"/>
      <c r="T46" s="11" t="n"/>
      <c r="U46" s="11" t="n"/>
      <c r="V46" s="11" t="n"/>
      <c r="W46" s="11" t="n"/>
      <c r="X46" s="11" t="inlineStr"/>
      <c r="Y46" s="14" t="inlineStr">
        <is>
          <t>open</t>
        </is>
      </c>
      <c r="Z46" s="11" t="n"/>
      <c r="AA46" s="11" t="n"/>
      <c r="AB46" s="11" t="n"/>
      <c r="AC46" s="9" t="inlineStr">
        <is>
          <t>1009 World Tour Blvd., Unit 101A, Myrtle Beach, SC 29579. Judgment $195,340.71. DEFICIENCY DEMANDED — open 30 days.</t>
        </is>
      </c>
    </row>
    <row r="47">
      <c r="A47" s="9" t="inlineStr">
        <is>
          <t>Horry</t>
        </is>
      </c>
      <c r="B47" s="10" t="n">
        <v>46273</v>
      </c>
      <c r="C47" s="9" t="n"/>
      <c r="D47" s="11" t="inlineStr">
        <is>
          <t>2026-CP-26-01639</t>
        </is>
      </c>
      <c r="E47" s="11" t="inlineStr">
        <is>
          <t>scheduled</t>
        </is>
      </c>
      <c r="F47" s="9" t="inlineStr">
        <is>
          <t>1501 S Ocean Blvd, Unit 1003, Myrtle Beach, SC 29577</t>
        </is>
      </c>
      <c r="G47" s="11" t="inlineStr">
        <is>
          <t>1870106637</t>
        </is>
      </c>
      <c r="H47" s="9" t="inlineStr"/>
      <c r="I47" s="9" t="inlineStr"/>
      <c r="J47" s="11" t="inlineStr">
        <is>
          <t>waived</t>
        </is>
      </c>
      <c r="K47" s="12" t="n">
        <v>102682.37</v>
      </c>
      <c r="L47" s="10" t="n"/>
      <c r="M47" s="12" t="n"/>
      <c r="N47" s="11">
        <f>IF(OR(B47="",L47=""),"",MAX(0,B47-L47))</f>
        <v/>
      </c>
      <c r="O47" s="12">
        <f>IF(K47="","",K47+IF(OR(M47="",N47=""),0,M47*N47))</f>
        <v/>
      </c>
      <c r="P47" s="11" t="n"/>
      <c r="Q47" s="12" t="n"/>
      <c r="R47" s="13">
        <f>IF(OR(Q47="",Q47=0,O47=""),"",O47/Q47)</f>
        <v/>
      </c>
      <c r="S47" s="11" t="n"/>
      <c r="T47" s="11" t="n"/>
      <c r="U47" s="11" t="n"/>
      <c r="V47" s="11" t="n"/>
      <c r="W47" s="11" t="n"/>
      <c r="X47" s="11" t="inlineStr"/>
      <c r="Y47" s="14" t="inlineStr">
        <is>
          <t>open</t>
        </is>
      </c>
      <c r="Z47" s="11" t="n"/>
      <c r="AA47" s="11" t="n"/>
      <c r="AB47" s="11" t="n"/>
      <c r="AC47" s="9" t="inlineStr">
        <is>
          <t>1501 S Ocean Blvd, Unit 1003, Myrtle Beach, SC 29577. Judgment $102,682.37. Deficiency waived — final on the day.</t>
        </is>
      </c>
    </row>
    <row r="48">
      <c r="A48" s="9" t="inlineStr">
        <is>
          <t>Horry</t>
        </is>
      </c>
      <c r="B48" s="10" t="n">
        <v>46273</v>
      </c>
      <c r="C48" s="9" t="n"/>
      <c r="D48" s="11" t="inlineStr">
        <is>
          <t>2026-CP-26-00435</t>
        </is>
      </c>
      <c r="E48" s="11" t="inlineStr">
        <is>
          <t>scheduled</t>
        </is>
      </c>
      <c r="F48" s="9" t="inlineStr">
        <is>
          <t>4230 Pinehurst Circle, Unit K7, Little River, SC 29566</t>
        </is>
      </c>
      <c r="G48" s="11" t="inlineStr">
        <is>
          <t>1182101101</t>
        </is>
      </c>
      <c r="H48" s="9" t="inlineStr"/>
      <c r="I48" s="9" t="inlineStr"/>
      <c r="J48" s="11" t="inlineStr">
        <is>
          <t>waived</t>
        </is>
      </c>
      <c r="K48" s="12" t="n">
        <v>11784.11</v>
      </c>
      <c r="L48" s="10" t="n"/>
      <c r="M48" s="12" t="n"/>
      <c r="N48" s="11">
        <f>IF(OR(B48="",L48=""),"",MAX(0,B48-L48))</f>
        <v/>
      </c>
      <c r="O48" s="12">
        <f>IF(K48="","",K48+IF(OR(M48="",N48=""),0,M48*N48))</f>
        <v/>
      </c>
      <c r="P48" s="11" t="n"/>
      <c r="Q48" s="12" t="n"/>
      <c r="R48" s="13">
        <f>IF(OR(Q48="",Q48=0,O48=""),"",O48/Q48)</f>
        <v/>
      </c>
      <c r="S48" s="11" t="n"/>
      <c r="T48" s="11" t="n"/>
      <c r="U48" s="11" t="n"/>
      <c r="V48" s="11" t="n"/>
      <c r="W48" s="11" t="n"/>
      <c r="X48" s="11" t="inlineStr"/>
      <c r="Y48" s="14" t="inlineStr">
        <is>
          <t>open</t>
        </is>
      </c>
      <c r="Z48" s="11" t="n"/>
      <c r="AA48" s="11" t="n"/>
      <c r="AB48" s="11" t="n"/>
      <c r="AC48" s="9" t="inlineStr">
        <is>
          <t>4230 Pinehurst Circle, Unit K7, Little River, SC 29566. Judgment $11,784.11. Deficiency waived — final on the day.</t>
        </is>
      </c>
    </row>
    <row r="49">
      <c r="A49" s="9" t="inlineStr">
        <is>
          <t>Horry</t>
        </is>
      </c>
      <c r="B49" s="10" t="n">
        <v>46273</v>
      </c>
      <c r="C49" s="9" t="n"/>
      <c r="D49" s="11" t="inlineStr">
        <is>
          <t>2026-CP-26-01969</t>
        </is>
      </c>
      <c r="E49" s="11" t="inlineStr">
        <is>
          <t>scheduled</t>
        </is>
      </c>
      <c r="F49" s="9" t="inlineStr">
        <is>
          <t>4834 Carnation Circle, Unit 105, Myrtle Beach, SC 29577</t>
        </is>
      </c>
      <c r="G49" s="11" t="inlineStr">
        <is>
          <t>1730401688</t>
        </is>
      </c>
      <c r="H49" s="9" t="inlineStr"/>
      <c r="I49" s="9" t="inlineStr"/>
      <c r="J49" s="11" t="inlineStr">
        <is>
          <t>waived</t>
        </is>
      </c>
      <c r="K49" s="12" t="n">
        <v>10395.12</v>
      </c>
      <c r="L49" s="10" t="n"/>
      <c r="M49" s="12" t="n"/>
      <c r="N49" s="11">
        <f>IF(OR(B49="",L49=""),"",MAX(0,B49-L49))</f>
        <v/>
      </c>
      <c r="O49" s="12">
        <f>IF(K49="","",K49+IF(OR(M49="",N49=""),0,M49*N49))</f>
        <v/>
      </c>
      <c r="P49" s="11" t="n"/>
      <c r="Q49" s="12" t="n"/>
      <c r="R49" s="13">
        <f>IF(OR(Q49="",Q49=0,O49=""),"",O49/Q49)</f>
        <v/>
      </c>
      <c r="S49" s="11" t="n"/>
      <c r="T49" s="11" t="n"/>
      <c r="U49" s="11" t="n"/>
      <c r="V49" s="11" t="n"/>
      <c r="W49" s="11" t="n"/>
      <c r="X49" s="11" t="inlineStr"/>
      <c r="Y49" s="14" t="inlineStr">
        <is>
          <t>open</t>
        </is>
      </c>
      <c r="Z49" s="11" t="n"/>
      <c r="AA49" s="11" t="n"/>
      <c r="AB49" s="11" t="n"/>
      <c r="AC49" s="9" t="inlineStr">
        <is>
          <t>4834 Carnation Circle, Unit 105, Myrtle Beach, SC 29577. Judgment $10,395.12. Deficiency waived — final on the day.</t>
        </is>
      </c>
    </row>
    <row r="50">
      <c r="A50" s="9" t="inlineStr">
        <is>
          <t>Horry</t>
        </is>
      </c>
      <c r="B50" s="10" t="n">
        <v>46273</v>
      </c>
      <c r="C50" s="9" t="n"/>
      <c r="D50" s="11" t="inlineStr">
        <is>
          <t>2026-CP-26-01479</t>
        </is>
      </c>
      <c r="E50" s="11" t="inlineStr">
        <is>
          <t>scheduled</t>
        </is>
      </c>
      <c r="F50" s="9" t="inlineStr">
        <is>
          <t>1117 Pineridge Street, Conway, SC 29527</t>
        </is>
      </c>
      <c r="G50" s="11" t="inlineStr">
        <is>
          <t>1492201037</t>
        </is>
      </c>
      <c r="H50" s="9" t="inlineStr"/>
      <c r="I50" s="9" t="inlineStr"/>
      <c r="J50" s="11" t="inlineStr">
        <is>
          <t>waived</t>
        </is>
      </c>
      <c r="K50" s="12" t="n">
        <v>233312.6</v>
      </c>
      <c r="L50" s="10" t="n"/>
      <c r="M50" s="12" t="n"/>
      <c r="N50" s="11">
        <f>IF(OR(B50="",L50=""),"",MAX(0,B50-L50))</f>
        <v/>
      </c>
      <c r="O50" s="12">
        <f>IF(K50="","",K50+IF(OR(M50="",N50=""),0,M50*N50))</f>
        <v/>
      </c>
      <c r="P50" s="11" t="n"/>
      <c r="Q50" s="12" t="n"/>
      <c r="R50" s="13">
        <f>IF(OR(Q50="",Q50=0,O50=""),"",O50/Q50)</f>
        <v/>
      </c>
      <c r="S50" s="11" t="n"/>
      <c r="T50" s="11" t="n"/>
      <c r="U50" s="11" t="n"/>
      <c r="V50" s="11" t="n"/>
      <c r="W50" s="11" t="n"/>
      <c r="X50" s="11" t="inlineStr"/>
      <c r="Y50" s="14" t="inlineStr">
        <is>
          <t>open</t>
        </is>
      </c>
      <c r="Z50" s="11" t="n"/>
      <c r="AA50" s="11" t="n"/>
      <c r="AB50" s="11" t="n"/>
      <c r="AC50" s="9" t="inlineStr">
        <is>
          <t>1117 Pineridge Street, Conway, SC 29527. Judgment $233,312.60. Deficiency waived — final on the day.</t>
        </is>
      </c>
    </row>
    <row r="51">
      <c r="A51" s="9" t="inlineStr">
        <is>
          <t>Horry</t>
        </is>
      </c>
      <c r="B51" s="10" t="n">
        <v>46273</v>
      </c>
      <c r="C51" s="9" t="n"/>
      <c r="D51" s="11" t="inlineStr">
        <is>
          <t>2025-CP-26-08432</t>
        </is>
      </c>
      <c r="E51" s="11" t="inlineStr">
        <is>
          <t>scheduled</t>
        </is>
      </c>
      <c r="F51" s="9" t="inlineStr">
        <is>
          <t>1789 Dixie Court, Loris, SC 29569</t>
        </is>
      </c>
      <c r="G51" s="11" t="inlineStr">
        <is>
          <t>0870006056</t>
        </is>
      </c>
      <c r="H51" s="9" t="inlineStr"/>
      <c r="I51" s="9" t="inlineStr"/>
      <c r="J51" s="11" t="inlineStr">
        <is>
          <t>waived</t>
        </is>
      </c>
      <c r="K51" s="12" t="n">
        <v>145713.25</v>
      </c>
      <c r="L51" s="10" t="n"/>
      <c r="M51" s="12" t="n"/>
      <c r="N51" s="11">
        <f>IF(OR(B51="",L51=""),"",MAX(0,B51-L51))</f>
        <v/>
      </c>
      <c r="O51" s="12">
        <f>IF(K51="","",K51+IF(OR(M51="",N51=""),0,M51*N51))</f>
        <v/>
      </c>
      <c r="P51" s="11" t="n"/>
      <c r="Q51" s="12" t="n"/>
      <c r="R51" s="13">
        <f>IF(OR(Q51="",Q51=0,O51=""),"",O51/Q51)</f>
        <v/>
      </c>
      <c r="S51" s="11" t="n"/>
      <c r="T51" s="11" t="n"/>
      <c r="U51" s="11" t="n"/>
      <c r="V51" s="11" t="n"/>
      <c r="W51" s="11" t="n"/>
      <c r="X51" s="11" t="inlineStr"/>
      <c r="Y51" s="14" t="inlineStr">
        <is>
          <t>open</t>
        </is>
      </c>
      <c r="Z51" s="11" t="n"/>
      <c r="AA51" s="11" t="n"/>
      <c r="AB51" s="11" t="n"/>
      <c r="AC51" s="9" t="inlineStr">
        <is>
          <t>1789 Dixie Court, Loris, SC 29569. Judgment $145,713.25. Deficiency waived — final on the day.</t>
        </is>
      </c>
    </row>
    <row r="52">
      <c r="A52" s="9" t="inlineStr">
        <is>
          <t>Horry</t>
        </is>
      </c>
      <c r="B52" s="10" t="n">
        <v>46273</v>
      </c>
      <c r="C52" s="9" t="n"/>
      <c r="D52" s="11" t="inlineStr">
        <is>
          <t>2026-CP-26-00324</t>
        </is>
      </c>
      <c r="E52" s="11" t="inlineStr">
        <is>
          <t>scheduled</t>
        </is>
      </c>
      <c r="F52" s="9" t="inlineStr">
        <is>
          <t>510 Fairwood Lakes Dr., Unit 21A, Myrtle Beach, SC 29588</t>
        </is>
      </c>
      <c r="G52" s="11" t="inlineStr">
        <is>
          <t>1902001117</t>
        </is>
      </c>
      <c r="H52" s="9" t="inlineStr"/>
      <c r="I52" s="9" t="inlineStr"/>
      <c r="J52" s="11" t="inlineStr">
        <is>
          <t>waived</t>
        </is>
      </c>
      <c r="K52" s="12" t="n">
        <v>161754.34</v>
      </c>
      <c r="L52" s="10" t="n"/>
      <c r="M52" s="12" t="n"/>
      <c r="N52" s="11">
        <f>IF(OR(B52="",L52=""),"",MAX(0,B52-L52))</f>
        <v/>
      </c>
      <c r="O52" s="12">
        <f>IF(K52="","",K52+IF(OR(M52="",N52=""),0,M52*N52))</f>
        <v/>
      </c>
      <c r="P52" s="11" t="n"/>
      <c r="Q52" s="12" t="n"/>
      <c r="R52" s="13">
        <f>IF(OR(Q52="",Q52=0,O52=""),"",O52/Q52)</f>
        <v/>
      </c>
      <c r="S52" s="11" t="n"/>
      <c r="T52" s="11" t="n"/>
      <c r="U52" s="11" t="n"/>
      <c r="V52" s="11" t="n"/>
      <c r="W52" s="11" t="n"/>
      <c r="X52" s="11" t="inlineStr"/>
      <c r="Y52" s="14" t="inlineStr">
        <is>
          <t>open</t>
        </is>
      </c>
      <c r="Z52" s="11" t="n"/>
      <c r="AA52" s="11" t="n"/>
      <c r="AB52" s="11" t="n"/>
      <c r="AC52" s="9" t="inlineStr">
        <is>
          <t>510 Fairwood Lakes Dr., Unit 21A, Myrtle Beach, SC 29588. Judgment $161,754.34. Deficiency waived — final on the day.</t>
        </is>
      </c>
    </row>
    <row r="53">
      <c r="A53" s="9" t="inlineStr">
        <is>
          <t>Horry</t>
        </is>
      </c>
      <c r="B53" s="10" t="n">
        <v>46273</v>
      </c>
      <c r="C53" s="9" t="n"/>
      <c r="D53" s="11" t="inlineStr">
        <is>
          <t>2026-CP-26-01303</t>
        </is>
      </c>
      <c r="E53" s="11" t="inlineStr">
        <is>
          <t>scheduled</t>
        </is>
      </c>
      <c r="F53" s="9" t="inlineStr">
        <is>
          <t>1643 Harbor Dr., North Myrtle Beach, SC 29582</t>
        </is>
      </c>
      <c r="G53" s="11" t="inlineStr">
        <is>
          <t>1310604021</t>
        </is>
      </c>
      <c r="H53" s="9" t="inlineStr"/>
      <c r="I53" s="9" t="inlineStr"/>
      <c r="J53" s="11" t="inlineStr">
        <is>
          <t>waived</t>
        </is>
      </c>
      <c r="K53" s="12" t="n">
        <v>324245.6</v>
      </c>
      <c r="L53" s="10" t="n"/>
      <c r="M53" s="12" t="n"/>
      <c r="N53" s="11">
        <f>IF(OR(B53="",L53=""),"",MAX(0,B53-L53))</f>
        <v/>
      </c>
      <c r="O53" s="12">
        <f>IF(K53="","",K53+IF(OR(M53="",N53=""),0,M53*N53))</f>
        <v/>
      </c>
      <c r="P53" s="11" t="n"/>
      <c r="Q53" s="12" t="n"/>
      <c r="R53" s="13">
        <f>IF(OR(Q53="",Q53=0,O53=""),"",O53/Q53)</f>
        <v/>
      </c>
      <c r="S53" s="11" t="n"/>
      <c r="T53" s="11" t="n"/>
      <c r="U53" s="11" t="n"/>
      <c r="V53" s="11" t="n"/>
      <c r="W53" s="11" t="n"/>
      <c r="X53" s="11" t="inlineStr"/>
      <c r="Y53" s="14" t="inlineStr">
        <is>
          <t>open</t>
        </is>
      </c>
      <c r="Z53" s="11" t="n"/>
      <c r="AA53" s="11" t="n"/>
      <c r="AB53" s="11" t="n"/>
      <c r="AC53" s="9" t="inlineStr">
        <is>
          <t>1643 Harbor Dr., North Myrtle Beach, SC 29582. Judgment $324,245.60. Deficiency waived — final on the day.</t>
        </is>
      </c>
    </row>
    <row r="54">
      <c r="A54" s="9" t="inlineStr">
        <is>
          <t>Horry</t>
        </is>
      </c>
      <c r="B54" s="10" t="n">
        <v>46273</v>
      </c>
      <c r="C54" s="9" t="n"/>
      <c r="D54" s="11" t="inlineStr">
        <is>
          <t>2026-CP-26-01167</t>
        </is>
      </c>
      <c r="E54" s="11" t="inlineStr">
        <is>
          <t>scheduled</t>
        </is>
      </c>
      <c r="F54" s="9" t="inlineStr">
        <is>
          <t>1855 Highway 129, Galivants Ferry, SC 29544</t>
        </is>
      </c>
      <c r="G54" s="11" t="inlineStr">
        <is>
          <t>0530001331</t>
        </is>
      </c>
      <c r="H54" s="9" t="inlineStr"/>
      <c r="I54" s="9" t="inlineStr"/>
      <c r="J54" s="11" t="inlineStr">
        <is>
          <t>waived</t>
        </is>
      </c>
      <c r="K54" s="12" t="n">
        <v>29002.01</v>
      </c>
      <c r="L54" s="10" t="n"/>
      <c r="M54" s="12" t="n"/>
      <c r="N54" s="11">
        <f>IF(OR(B54="",L54=""),"",MAX(0,B54-L54))</f>
        <v/>
      </c>
      <c r="O54" s="12">
        <f>IF(K54="","",K54+IF(OR(M54="",N54=""),0,M54*N54))</f>
        <v/>
      </c>
      <c r="P54" s="11" t="n"/>
      <c r="Q54" s="12" t="n"/>
      <c r="R54" s="13">
        <f>IF(OR(Q54="",Q54=0,O54=""),"",O54/Q54)</f>
        <v/>
      </c>
      <c r="S54" s="11" t="n"/>
      <c r="T54" s="11" t="n"/>
      <c r="U54" s="11" t="n"/>
      <c r="V54" s="11" t="n"/>
      <c r="W54" s="11" t="n"/>
      <c r="X54" s="11" t="inlineStr"/>
      <c r="Y54" s="14" t="inlineStr">
        <is>
          <t>open</t>
        </is>
      </c>
      <c r="Z54" s="11" t="n"/>
      <c r="AA54" s="11" t="n"/>
      <c r="AB54" s="11" t="n"/>
      <c r="AC54" s="9" t="inlineStr">
        <is>
          <t>1855 Highway 129, Galivants Ferry, SC 29544. Judgment $29,002.01. Deficiency waived — final on the day.</t>
        </is>
      </c>
    </row>
    <row r="55">
      <c r="A55" s="9" t="inlineStr">
        <is>
          <t>Horry</t>
        </is>
      </c>
      <c r="B55" s="10" t="n">
        <v>46273</v>
      </c>
      <c r="C55" s="9" t="n"/>
      <c r="D55" s="11" t="inlineStr">
        <is>
          <t>2025-CP-26-08854</t>
        </is>
      </c>
      <c r="E55" s="11" t="inlineStr">
        <is>
          <t>scheduled</t>
        </is>
      </c>
      <c r="F55" s="9" t="inlineStr">
        <is>
          <t>730 Charter Drive, Unit F3, Longs, SC 29568</t>
        </is>
      </c>
      <c r="G55" s="11" t="inlineStr">
        <is>
          <t>1170002400</t>
        </is>
      </c>
      <c r="H55" s="9" t="inlineStr"/>
      <c r="I55" s="9" t="inlineStr"/>
      <c r="J55" s="11" t="inlineStr">
        <is>
          <t>waived</t>
        </is>
      </c>
      <c r="K55" s="12" t="n">
        <v>110265.46</v>
      </c>
      <c r="L55" s="10" t="n"/>
      <c r="M55" s="12" t="n"/>
      <c r="N55" s="11">
        <f>IF(OR(B55="",L55=""),"",MAX(0,B55-L55))</f>
        <v/>
      </c>
      <c r="O55" s="12">
        <f>IF(K55="","",K55+IF(OR(M55="",N55=""),0,M55*N55))</f>
        <v/>
      </c>
      <c r="P55" s="11" t="n"/>
      <c r="Q55" s="12" t="n"/>
      <c r="R55" s="13">
        <f>IF(OR(Q55="",Q55=0,O55=""),"",O55/Q55)</f>
        <v/>
      </c>
      <c r="S55" s="11" t="n"/>
      <c r="T55" s="11" t="n"/>
      <c r="U55" s="11" t="n"/>
      <c r="V55" s="11" t="n"/>
      <c r="W55" s="11" t="n"/>
      <c r="X55" s="11" t="inlineStr"/>
      <c r="Y55" s="14" t="inlineStr">
        <is>
          <t>open</t>
        </is>
      </c>
      <c r="Z55" s="11" t="n"/>
      <c r="AA55" s="11" t="n"/>
      <c r="AB55" s="11" t="n"/>
      <c r="AC55" s="9" t="inlineStr">
        <is>
          <t>730 Charter Drive, Unit F3, Longs, SC 29568. Judgment $110,265.46. Deficiency waived — final on the day.</t>
        </is>
      </c>
    </row>
    <row r="56">
      <c r="A56" s="9" t="inlineStr">
        <is>
          <t>Horry</t>
        </is>
      </c>
      <c r="B56" s="10" t="n">
        <v>46273</v>
      </c>
      <c r="C56" s="9" t="n"/>
      <c r="D56" s="11" t="inlineStr">
        <is>
          <t>2025-CP-26-09288</t>
        </is>
      </c>
      <c r="E56" s="11" t="inlineStr">
        <is>
          <t>scheduled</t>
        </is>
      </c>
      <c r="F56" s="9" t="inlineStr">
        <is>
          <t>8329 Tartan Lane, Myrtle Beach, SC 29588</t>
        </is>
      </c>
      <c r="G56" s="11" t="inlineStr">
        <is>
          <t>1842601085</t>
        </is>
      </c>
      <c r="H56" s="9" t="inlineStr"/>
      <c r="I56" s="9" t="inlineStr"/>
      <c r="J56" s="11" t="inlineStr">
        <is>
          <t>waived</t>
        </is>
      </c>
      <c r="K56" s="12" t="n">
        <v>329208.26</v>
      </c>
      <c r="L56" s="10" t="n"/>
      <c r="M56" s="12" t="n"/>
      <c r="N56" s="11">
        <f>IF(OR(B56="",L56=""),"",MAX(0,B56-L56))</f>
        <v/>
      </c>
      <c r="O56" s="12">
        <f>IF(K56="","",K56+IF(OR(M56="",N56=""),0,M56*N56))</f>
        <v/>
      </c>
      <c r="P56" s="11" t="n"/>
      <c r="Q56" s="12" t="n"/>
      <c r="R56" s="13">
        <f>IF(OR(Q56="",Q56=0,O56=""),"",O56/Q56)</f>
        <v/>
      </c>
      <c r="S56" s="11" t="n"/>
      <c r="T56" s="11" t="n"/>
      <c r="U56" s="11" t="n"/>
      <c r="V56" s="11" t="n"/>
      <c r="W56" s="11" t="n"/>
      <c r="X56" s="11" t="inlineStr"/>
      <c r="Y56" s="14" t="inlineStr">
        <is>
          <t>open</t>
        </is>
      </c>
      <c r="Z56" s="11" t="n"/>
      <c r="AA56" s="11" t="n"/>
      <c r="AB56" s="11" t="n"/>
      <c r="AC56" s="9" t="inlineStr">
        <is>
          <t>8329 Tartan Lane, Myrtle Beach, SC 29588. Judgment $329,208.26. Deficiency waived — final on the day.</t>
        </is>
      </c>
    </row>
    <row r="57">
      <c r="A57" s="9" t="inlineStr">
        <is>
          <t>Horry</t>
        </is>
      </c>
      <c r="B57" s="10" t="n">
        <v>46273</v>
      </c>
      <c r="C57" s="9" t="n"/>
      <c r="D57" s="11" t="inlineStr">
        <is>
          <t>2026-CP-26-00055</t>
        </is>
      </c>
      <c r="E57" s="11" t="inlineStr">
        <is>
          <t>scheduled</t>
        </is>
      </c>
      <c r="F57" s="9" t="inlineStr">
        <is>
          <t>2305 Copper Creek Loop, Longs, SC 29568</t>
        </is>
      </c>
      <c r="G57" s="11" t="n"/>
      <c r="H57" s="9" t="inlineStr"/>
      <c r="I57" s="9" t="inlineStr"/>
      <c r="J57" s="11" t="inlineStr">
        <is>
          <t>waived</t>
        </is>
      </c>
      <c r="K57" s="12" t="n">
        <v>404484.57</v>
      </c>
      <c r="L57" s="10" t="n"/>
      <c r="M57" s="12" t="n"/>
      <c r="N57" s="11">
        <f>IF(OR(B57="",L57=""),"",MAX(0,B57-L57))</f>
        <v/>
      </c>
      <c r="O57" s="12">
        <f>IF(K57="","",K57+IF(OR(M57="",N57=""),0,M57*N57))</f>
        <v/>
      </c>
      <c r="P57" s="11" t="n"/>
      <c r="Q57" s="12" t="n"/>
      <c r="R57" s="13">
        <f>IF(OR(Q57="",Q57=0,O57=""),"",O57/Q57)</f>
        <v/>
      </c>
      <c r="S57" s="11" t="n"/>
      <c r="T57" s="11" t="n"/>
      <c r="U57" s="11" t="n"/>
      <c r="V57" s="11" t="n"/>
      <c r="W57" s="11" t="n"/>
      <c r="X57" s="11" t="inlineStr"/>
      <c r="Y57" s="14" t="inlineStr">
        <is>
          <t>open</t>
        </is>
      </c>
      <c r="Z57" s="11" t="n"/>
      <c r="AA57" s="11" t="n"/>
      <c r="AB57" s="11" t="n"/>
      <c r="AC57" s="9" t="inlineStr">
        <is>
          <t>2305 Copper Creek Loop, Longs, SC 29568. Judgment $404,484.57. Deficiency waived — final on the day.</t>
        </is>
      </c>
    </row>
    <row r="58">
      <c r="A58" s="9" t="inlineStr">
        <is>
          <t>Horry</t>
        </is>
      </c>
      <c r="B58" s="10" t="n">
        <v>46273</v>
      </c>
      <c r="C58" s="9" t="n"/>
      <c r="D58" s="11" t="inlineStr">
        <is>
          <t>2026-CP-26-00133</t>
        </is>
      </c>
      <c r="E58" s="11" t="inlineStr">
        <is>
          <t>scheduled</t>
        </is>
      </c>
      <c r="F58" s="9" t="inlineStr">
        <is>
          <t>1108 Pochard Drive, Conway, SC 29526</t>
        </is>
      </c>
      <c r="G58" s="11" t="inlineStr">
        <is>
          <t>1514701074</t>
        </is>
      </c>
      <c r="H58" s="9" t="inlineStr"/>
      <c r="I58" s="9" t="inlineStr"/>
      <c r="J58" s="11" t="inlineStr">
        <is>
          <t>waived</t>
        </is>
      </c>
      <c r="K58" s="12" t="n">
        <v>487011.42</v>
      </c>
      <c r="L58" s="10" t="n"/>
      <c r="M58" s="12" t="n"/>
      <c r="N58" s="11">
        <f>IF(OR(B58="",L58=""),"",MAX(0,B58-L58))</f>
        <v/>
      </c>
      <c r="O58" s="12">
        <f>IF(K58="","",K58+IF(OR(M58="",N58=""),0,M58*N58))</f>
        <v/>
      </c>
      <c r="P58" s="11" t="n"/>
      <c r="Q58" s="12" t="n"/>
      <c r="R58" s="13">
        <f>IF(OR(Q58="",Q58=0,O58=""),"",O58/Q58)</f>
        <v/>
      </c>
      <c r="S58" s="11" t="n"/>
      <c r="T58" s="11" t="n"/>
      <c r="U58" s="11" t="n"/>
      <c r="V58" s="11" t="n"/>
      <c r="W58" s="11" t="n"/>
      <c r="X58" s="11" t="inlineStr"/>
      <c r="Y58" s="14" t="inlineStr">
        <is>
          <t>open</t>
        </is>
      </c>
      <c r="Z58" s="11" t="n"/>
      <c r="AA58" s="11" t="n"/>
      <c r="AB58" s="11" t="n"/>
      <c r="AC58" s="9" t="inlineStr">
        <is>
          <t>1108 Pochard Drive, Conway, SC 29526. Judgment $487,011.42. Deficiency waived — final on the day.</t>
        </is>
      </c>
    </row>
    <row r="59">
      <c r="A59" s="9" t="inlineStr">
        <is>
          <t>Horry</t>
        </is>
      </c>
      <c r="B59" s="10" t="n">
        <v>46273</v>
      </c>
      <c r="C59" s="9" t="n"/>
      <c r="D59" s="11" t="inlineStr">
        <is>
          <t>2026-CP-26-00053</t>
        </is>
      </c>
      <c r="E59" s="11" t="inlineStr">
        <is>
          <t>scheduled</t>
        </is>
      </c>
      <c r="F59" s="9" t="inlineStr">
        <is>
          <t>665 Tupelo Lane, Unit 17 H, Longs, SC 29568</t>
        </is>
      </c>
      <c r="G59" s="11" t="inlineStr">
        <is>
          <t>1021801113</t>
        </is>
      </c>
      <c r="H59" s="9" t="inlineStr"/>
      <c r="I59" s="9" t="inlineStr"/>
      <c r="J59" s="11" t="inlineStr">
        <is>
          <t>waived</t>
        </is>
      </c>
      <c r="K59" s="12" t="n">
        <v>204994.75</v>
      </c>
      <c r="L59" s="10" t="n"/>
      <c r="M59" s="12" t="n"/>
      <c r="N59" s="11">
        <f>IF(OR(B59="",L59=""),"",MAX(0,B59-L59))</f>
        <v/>
      </c>
      <c r="O59" s="12">
        <f>IF(K59="","",K59+IF(OR(M59="",N59=""),0,M59*N59))</f>
        <v/>
      </c>
      <c r="P59" s="11" t="n"/>
      <c r="Q59" s="12" t="n"/>
      <c r="R59" s="13">
        <f>IF(OR(Q59="",Q59=0,O59=""),"",O59/Q59)</f>
        <v/>
      </c>
      <c r="S59" s="11" t="n"/>
      <c r="T59" s="11" t="n"/>
      <c r="U59" s="11" t="n"/>
      <c r="V59" s="11" t="n"/>
      <c r="W59" s="11" t="n"/>
      <c r="X59" s="11" t="inlineStr"/>
      <c r="Y59" s="14" t="inlineStr">
        <is>
          <t>open</t>
        </is>
      </c>
      <c r="Z59" s="11" t="n"/>
      <c r="AA59" s="11" t="n"/>
      <c r="AB59" s="11" t="n"/>
      <c r="AC59" s="9" t="inlineStr">
        <is>
          <t>665 Tupelo Lane, Unit 17 H, Longs, SC 29568. Judgment $204,994.75. Deficiency waived — final on the day.</t>
        </is>
      </c>
    </row>
    <row r="60">
      <c r="A60" s="9" t="inlineStr">
        <is>
          <t>Horry</t>
        </is>
      </c>
      <c r="B60" s="10" t="n">
        <v>46273</v>
      </c>
      <c r="C60" s="9" t="n"/>
      <c r="D60" s="11" t="inlineStr">
        <is>
          <t>2026-CP-26-01835</t>
        </is>
      </c>
      <c r="E60" s="11" t="inlineStr">
        <is>
          <t>scheduled</t>
        </is>
      </c>
      <c r="F60" s="9" t="inlineStr">
        <is>
          <t>951 Plantation Drive A6, Little River, SC 29566</t>
        </is>
      </c>
      <c r="G60" s="11" t="n"/>
      <c r="H60" s="9" t="inlineStr"/>
      <c r="I60" s="9" t="inlineStr"/>
      <c r="J60" s="11" t="inlineStr">
        <is>
          <t>waived</t>
        </is>
      </c>
      <c r="K60" s="12" t="n">
        <v>273122.18</v>
      </c>
      <c r="L60" s="10" t="n"/>
      <c r="M60" s="12" t="n"/>
      <c r="N60" s="11">
        <f>IF(OR(B60="",L60=""),"",MAX(0,B60-L60))</f>
        <v/>
      </c>
      <c r="O60" s="12">
        <f>IF(K60="","",K60+IF(OR(M60="",N60=""),0,M60*N60))</f>
        <v/>
      </c>
      <c r="P60" s="11" t="n"/>
      <c r="Q60" s="12" t="n"/>
      <c r="R60" s="13">
        <f>IF(OR(Q60="",Q60=0,O60=""),"",O60/Q60)</f>
        <v/>
      </c>
      <c r="S60" s="11" t="n"/>
      <c r="T60" s="11" t="n"/>
      <c r="U60" s="11" t="n"/>
      <c r="V60" s="11" t="n"/>
      <c r="W60" s="11" t="n"/>
      <c r="X60" s="11" t="inlineStr"/>
      <c r="Y60" s="14" t="inlineStr">
        <is>
          <t>open</t>
        </is>
      </c>
      <c r="Z60" s="11" t="n"/>
      <c r="AA60" s="11" t="n"/>
      <c r="AB60" s="11" t="n"/>
      <c r="AC60" s="9" t="inlineStr">
        <is>
          <t>951 Plantation Drive A6, Little River, SC 29566. Judgment $273,122.18. Deficiency waived — final on the day.</t>
        </is>
      </c>
    </row>
    <row r="61">
      <c r="A61" s="9" t="inlineStr">
        <is>
          <t>Horry</t>
        </is>
      </c>
      <c r="B61" s="10" t="n">
        <v>46273</v>
      </c>
      <c r="C61" s="9" t="n"/>
      <c r="D61" s="11" t="inlineStr">
        <is>
          <t>2021-CP-26-00144</t>
        </is>
      </c>
      <c r="E61" s="11" t="inlineStr">
        <is>
          <t>scheduled</t>
        </is>
      </c>
      <c r="F61" s="9" t="inlineStr">
        <is>
          <t>3470 Hwy 917, Loris, SC 29569</t>
        </is>
      </c>
      <c r="G61" s="11" t="inlineStr">
        <is>
          <t>0370001160</t>
        </is>
      </c>
      <c r="H61" s="9" t="inlineStr"/>
      <c r="I61" s="9" t="inlineStr"/>
      <c r="J61" s="11" t="inlineStr">
        <is>
          <t>waived</t>
        </is>
      </c>
      <c r="K61" s="12" t="n">
        <v>134479.81</v>
      </c>
      <c r="L61" s="10" t="n"/>
      <c r="M61" s="12" t="n"/>
      <c r="N61" s="11">
        <f>IF(OR(B61="",L61=""),"",MAX(0,B61-L61))</f>
        <v/>
      </c>
      <c r="O61" s="12">
        <f>IF(K61="","",K61+IF(OR(M61="",N61=""),0,M61*N61))</f>
        <v/>
      </c>
      <c r="P61" s="11" t="n"/>
      <c r="Q61" s="12" t="n"/>
      <c r="R61" s="13">
        <f>IF(OR(Q61="",Q61=0,O61=""),"",O61/Q61)</f>
        <v/>
      </c>
      <c r="S61" s="11" t="n"/>
      <c r="T61" s="11" t="n"/>
      <c r="U61" s="11" t="n"/>
      <c r="V61" s="11" t="n"/>
      <c r="W61" s="11" t="n"/>
      <c r="X61" s="11" t="inlineStr"/>
      <c r="Y61" s="14" t="inlineStr">
        <is>
          <t>open</t>
        </is>
      </c>
      <c r="Z61" s="11" t="n"/>
      <c r="AA61" s="11" t="n"/>
      <c r="AB61" s="11" t="n"/>
      <c r="AC61" s="9" t="inlineStr">
        <is>
          <t>3470 Hwy 917, Loris, SC 29569. Judgment $134,479.81. Deficiency waived — final on the day.</t>
        </is>
      </c>
    </row>
    <row r="62">
      <c r="A62" s="9" t="inlineStr">
        <is>
          <t>Horry</t>
        </is>
      </c>
      <c r="B62" s="10" t="n">
        <v>46273</v>
      </c>
      <c r="C62" s="9" t="n"/>
      <c r="D62" s="11" t="inlineStr">
        <is>
          <t>2021-CP-26-00252</t>
        </is>
      </c>
      <c r="E62" s="11" t="inlineStr">
        <is>
          <t>scheduled</t>
        </is>
      </c>
      <c r="F62" s="9" t="inlineStr">
        <is>
          <t>507 Sims Drive, Myrtle Beach, SC 29577</t>
        </is>
      </c>
      <c r="G62" s="11" t="inlineStr">
        <is>
          <t>1792211004</t>
        </is>
      </c>
      <c r="H62" s="9" t="inlineStr"/>
      <c r="I62" s="9" t="inlineStr"/>
      <c r="J62" s="11" t="inlineStr">
        <is>
          <t>waived</t>
        </is>
      </c>
      <c r="K62" s="12" t="n">
        <v>98943.33</v>
      </c>
      <c r="L62" s="10" t="n"/>
      <c r="M62" s="12" t="n"/>
      <c r="N62" s="11">
        <f>IF(OR(B62="",L62=""),"",MAX(0,B62-L62))</f>
        <v/>
      </c>
      <c r="O62" s="12">
        <f>IF(K62="","",K62+IF(OR(M62="",N62=""),0,M62*N62))</f>
        <v/>
      </c>
      <c r="P62" s="11" t="n"/>
      <c r="Q62" s="12" t="n"/>
      <c r="R62" s="13">
        <f>IF(OR(Q62="",Q62=0,O62=""),"",O62/Q62)</f>
        <v/>
      </c>
      <c r="S62" s="11" t="n"/>
      <c r="T62" s="11" t="n"/>
      <c r="U62" s="11" t="n"/>
      <c r="V62" s="11" t="n"/>
      <c r="W62" s="11" t="n"/>
      <c r="X62" s="11" t="inlineStr"/>
      <c r="Y62" s="14" t="inlineStr">
        <is>
          <t>open</t>
        </is>
      </c>
      <c r="Z62" s="11" t="n"/>
      <c r="AA62" s="11" t="n"/>
      <c r="AB62" s="11" t="n"/>
      <c r="AC62" s="9" t="inlineStr">
        <is>
          <t>507 Sims Drive, Myrtle Beach, SC 29577. Judgment $98,943.33. Deficiency waived — final on the day.</t>
        </is>
      </c>
    </row>
    <row r="63">
      <c r="A63" s="9" t="inlineStr">
        <is>
          <t>Horry</t>
        </is>
      </c>
      <c r="B63" s="10" t="n">
        <v>46273</v>
      </c>
      <c r="C63" s="9" t="n"/>
      <c r="D63" s="11" t="inlineStr">
        <is>
          <t>2023-CP-26-04562</t>
        </is>
      </c>
      <c r="E63" s="11" t="inlineStr">
        <is>
          <t>scheduled</t>
        </is>
      </c>
      <c r="F63" s="9" t="inlineStr">
        <is>
          <t>308 Jasmine Drive, Conway, SC 29526</t>
        </is>
      </c>
      <c r="G63" s="11" t="inlineStr">
        <is>
          <t>1361701029</t>
        </is>
      </c>
      <c r="H63" s="9" t="inlineStr"/>
      <c r="I63" s="9" t="inlineStr"/>
      <c r="J63" s="11" t="inlineStr">
        <is>
          <t>waived</t>
        </is>
      </c>
      <c r="K63" s="12" t="n">
        <v>232129.23</v>
      </c>
      <c r="L63" s="10" t="n"/>
      <c r="M63" s="12" t="n"/>
      <c r="N63" s="11">
        <f>IF(OR(B63="",L63=""),"",MAX(0,B63-L63))</f>
        <v/>
      </c>
      <c r="O63" s="12">
        <f>IF(K63="","",K63+IF(OR(M63="",N63=""),0,M63*N63))</f>
        <v/>
      </c>
      <c r="P63" s="11" t="n"/>
      <c r="Q63" s="12" t="n"/>
      <c r="R63" s="13">
        <f>IF(OR(Q63="",Q63=0,O63=""),"",O63/Q63)</f>
        <v/>
      </c>
      <c r="S63" s="11" t="n"/>
      <c r="T63" s="11" t="n"/>
      <c r="U63" s="11" t="n"/>
      <c r="V63" s="11" t="n"/>
      <c r="W63" s="11" t="n"/>
      <c r="X63" s="11" t="inlineStr"/>
      <c r="Y63" s="14" t="inlineStr">
        <is>
          <t>open</t>
        </is>
      </c>
      <c r="Z63" s="11" t="n"/>
      <c r="AA63" s="11" t="n"/>
      <c r="AB63" s="11" t="n"/>
      <c r="AC63" s="9" t="inlineStr">
        <is>
          <t>308 Jasmine Drive, Conway, SC 29526. Judgment $232,129.23. Deficiency waived — final on the day.</t>
        </is>
      </c>
    </row>
    <row r="64">
      <c r="A64" s="9" t="inlineStr">
        <is>
          <t>Horry</t>
        </is>
      </c>
      <c r="B64" s="10" t="n">
        <v>46273</v>
      </c>
      <c r="C64" s="9" t="n"/>
      <c r="D64" s="11" t="inlineStr">
        <is>
          <t>2023-CP-26-06121</t>
        </is>
      </c>
      <c r="E64" s="11" t="inlineStr">
        <is>
          <t>scheduled</t>
        </is>
      </c>
      <c r="F64" s="9" t="inlineStr">
        <is>
          <t>615 Ford Circle, Conway, SC 29526</t>
        </is>
      </c>
      <c r="G64" s="11" t="inlineStr">
        <is>
          <t>1501711033</t>
        </is>
      </c>
      <c r="H64" s="9" t="inlineStr"/>
      <c r="I64" s="9" t="inlineStr"/>
      <c r="J64" s="11" t="inlineStr">
        <is>
          <t>waived</t>
        </is>
      </c>
      <c r="K64" s="12" t="n">
        <v>92861.3</v>
      </c>
      <c r="L64" s="10" t="n"/>
      <c r="M64" s="12" t="n"/>
      <c r="N64" s="11">
        <f>IF(OR(B64="",L64=""),"",MAX(0,B64-L64))</f>
        <v/>
      </c>
      <c r="O64" s="12">
        <f>IF(K64="","",K64+IF(OR(M64="",N64=""),0,M64*N64))</f>
        <v/>
      </c>
      <c r="P64" s="11" t="n"/>
      <c r="Q64" s="12" t="n"/>
      <c r="R64" s="13">
        <f>IF(OR(Q64="",Q64=0,O64=""),"",O64/Q64)</f>
        <v/>
      </c>
      <c r="S64" s="11" t="n"/>
      <c r="T64" s="11" t="n"/>
      <c r="U64" s="11" t="n"/>
      <c r="V64" s="11" t="n"/>
      <c r="W64" s="11" t="n"/>
      <c r="X64" s="11" t="inlineStr"/>
      <c r="Y64" s="14" t="inlineStr">
        <is>
          <t>open</t>
        </is>
      </c>
      <c r="Z64" s="11" t="n"/>
      <c r="AA64" s="11" t="n"/>
      <c r="AB64" s="11" t="n"/>
      <c r="AC64" s="9" t="inlineStr">
        <is>
          <t>615 Ford Circle, Conway, SC 29526. Judgment $92,861.30. Deficiency waived — final on the day.</t>
        </is>
      </c>
    </row>
    <row r="65">
      <c r="A65" s="9" t="inlineStr">
        <is>
          <t>Horry</t>
        </is>
      </c>
      <c r="B65" s="10" t="n">
        <v>46273</v>
      </c>
      <c r="C65" s="9" t="n"/>
      <c r="D65" s="11" t="inlineStr">
        <is>
          <t>2022-CP-26-05682</t>
        </is>
      </c>
      <c r="E65" s="11" t="inlineStr">
        <is>
          <t>scheduled</t>
        </is>
      </c>
      <c r="F65" s="9" t="inlineStr">
        <is>
          <t>4155 Heather Lakes Drive, Little River, SC 29566</t>
        </is>
      </c>
      <c r="G65" s="11" t="inlineStr">
        <is>
          <t>1183101012</t>
        </is>
      </c>
      <c r="H65" s="9" t="inlineStr"/>
      <c r="I65" s="9" t="inlineStr"/>
      <c r="J65" s="11" t="inlineStr">
        <is>
          <t>waived</t>
        </is>
      </c>
      <c r="K65" s="12" t="n">
        <v>455702.77</v>
      </c>
      <c r="L65" s="10" t="n"/>
      <c r="M65" s="12" t="n"/>
      <c r="N65" s="11">
        <f>IF(OR(B65="",L65=""),"",MAX(0,B65-L65))</f>
        <v/>
      </c>
      <c r="O65" s="12">
        <f>IF(K65="","",K65+IF(OR(M65="",N65=""),0,M65*N65))</f>
        <v/>
      </c>
      <c r="P65" s="11" t="n"/>
      <c r="Q65" s="12" t="n"/>
      <c r="R65" s="13">
        <f>IF(OR(Q65="",Q65=0,O65=""),"",O65/Q65)</f>
        <v/>
      </c>
      <c r="S65" s="11" t="n"/>
      <c r="T65" s="11" t="n"/>
      <c r="U65" s="11" t="n"/>
      <c r="V65" s="11" t="n"/>
      <c r="W65" s="11" t="n"/>
      <c r="X65" s="11" t="inlineStr"/>
      <c r="Y65" s="14" t="inlineStr">
        <is>
          <t>open</t>
        </is>
      </c>
      <c r="Z65" s="11" t="n"/>
      <c r="AA65" s="11" t="n"/>
      <c r="AB65" s="11" t="n"/>
      <c r="AC65" s="9" t="inlineStr">
        <is>
          <t>4155 Heather Lakes Drive, Little River, SC 29566. Judgment $455,702.77. Deficiency waived — final on the day.</t>
        </is>
      </c>
    </row>
    <row r="66">
      <c r="A66" s="9" t="inlineStr">
        <is>
          <t>Horry</t>
        </is>
      </c>
      <c r="B66" s="10" t="n">
        <v>46273</v>
      </c>
      <c r="C66" s="9" t="n"/>
      <c r="D66" s="11" t="inlineStr">
        <is>
          <t>2025-CP-26-06064</t>
        </is>
      </c>
      <c r="E66" s="11" t="inlineStr">
        <is>
          <t>scheduled</t>
        </is>
      </c>
      <c r="F66" s="9" t="inlineStr">
        <is>
          <t>3526 Saint James Avenue, Myrtle Beach, SC 29577</t>
        </is>
      </c>
      <c r="G66" s="11" t="inlineStr">
        <is>
          <t>1732402077</t>
        </is>
      </c>
      <c r="H66" s="9" t="inlineStr"/>
      <c r="I66" s="9" t="inlineStr"/>
      <c r="J66" s="11" t="inlineStr">
        <is>
          <t>waived</t>
        </is>
      </c>
      <c r="K66" s="12" t="n">
        <v>303355.55</v>
      </c>
      <c r="L66" s="10" t="n"/>
      <c r="M66" s="12" t="n"/>
      <c r="N66" s="11">
        <f>IF(OR(B66="",L66=""),"",MAX(0,B66-L66))</f>
        <v/>
      </c>
      <c r="O66" s="12">
        <f>IF(K66="","",K66+IF(OR(M66="",N66=""),0,M66*N66))</f>
        <v/>
      </c>
      <c r="P66" s="11" t="n"/>
      <c r="Q66" s="12" t="n"/>
      <c r="R66" s="13">
        <f>IF(OR(Q66="",Q66=0,O66=""),"",O66/Q66)</f>
        <v/>
      </c>
      <c r="S66" s="11" t="n"/>
      <c r="T66" s="11" t="n"/>
      <c r="U66" s="11" t="n"/>
      <c r="V66" s="11" t="n"/>
      <c r="W66" s="11" t="n"/>
      <c r="X66" s="11" t="inlineStr"/>
      <c r="Y66" s="14" t="inlineStr">
        <is>
          <t>open</t>
        </is>
      </c>
      <c r="Z66" s="11" t="n"/>
      <c r="AA66" s="11" t="n"/>
      <c r="AB66" s="11" t="n"/>
      <c r="AC66" s="9" t="inlineStr">
        <is>
          <t>3526 Saint James Avenue, Myrtle Beach, SC 29577. Judgment $303,355.55. Deficiency waived — final on the day.</t>
        </is>
      </c>
    </row>
    <row r="67">
      <c r="A67" s="9" t="inlineStr">
        <is>
          <t>Horry</t>
        </is>
      </c>
      <c r="B67" s="10" t="n">
        <v>46273</v>
      </c>
      <c r="C67" s="9" t="n"/>
      <c r="D67" s="11" t="inlineStr">
        <is>
          <t>2025-CP-26-07873</t>
        </is>
      </c>
      <c r="E67" s="11" t="inlineStr">
        <is>
          <t>scheduled</t>
        </is>
      </c>
      <c r="F67" s="9" t="inlineStr">
        <is>
          <t>1207 S Ocean Blvd, Unit 50613, Myrtle Beach, SC 29577</t>
        </is>
      </c>
      <c r="G67" s="11" t="inlineStr">
        <is>
          <t>1811302144</t>
        </is>
      </c>
      <c r="H67" s="9" t="inlineStr"/>
      <c r="I67" s="9" t="inlineStr"/>
      <c r="J67" s="11" t="inlineStr">
        <is>
          <t>waived</t>
        </is>
      </c>
      <c r="K67" s="12" t="n">
        <v>19877.49</v>
      </c>
      <c r="L67" s="10" t="n"/>
      <c r="M67" s="12" t="n"/>
      <c r="N67" s="11">
        <f>IF(OR(B67="",L67=""),"",MAX(0,B67-L67))</f>
        <v/>
      </c>
      <c r="O67" s="12">
        <f>IF(K67="","",K67+IF(OR(M67="",N67=""),0,M67*N67))</f>
        <v/>
      </c>
      <c r="P67" s="11" t="n"/>
      <c r="Q67" s="12" t="n"/>
      <c r="R67" s="13">
        <f>IF(OR(Q67="",Q67=0,O67=""),"",O67/Q67)</f>
        <v/>
      </c>
      <c r="S67" s="11" t="n"/>
      <c r="T67" s="11" t="n"/>
      <c r="U67" s="11" t="n"/>
      <c r="V67" s="11" t="n"/>
      <c r="W67" s="11" t="n"/>
      <c r="X67" s="11" t="inlineStr"/>
      <c r="Y67" s="14" t="inlineStr">
        <is>
          <t>open</t>
        </is>
      </c>
      <c r="Z67" s="11" t="n"/>
      <c r="AA67" s="11" t="n"/>
      <c r="AB67" s="11" t="n"/>
      <c r="AC67" s="9" t="inlineStr">
        <is>
          <t>1207 S Ocean Blvd, Unit 50613, Myrtle Beach, SC 29577. Judgment $19,877.49. Deficiency waived — final on the day.</t>
        </is>
      </c>
    </row>
    <row r="68">
      <c r="A68" s="9" t="inlineStr">
        <is>
          <t>Horry</t>
        </is>
      </c>
      <c r="B68" s="10" t="n">
        <v>46273</v>
      </c>
      <c r="C68" s="9" t="n"/>
      <c r="D68" s="11" t="inlineStr">
        <is>
          <t>2026-CP-26-02340</t>
        </is>
      </c>
      <c r="E68" s="11" t="inlineStr">
        <is>
          <t>scheduled</t>
        </is>
      </c>
      <c r="F68" s="9" t="inlineStr">
        <is>
          <t>2001 S Ocean Blvd, Unit 203, Myrtle Beach, SC 29577</t>
        </is>
      </c>
      <c r="G68" s="11" t="inlineStr">
        <is>
          <t>1870108055</t>
        </is>
      </c>
      <c r="H68" s="9" t="inlineStr"/>
      <c r="I68" s="9" t="inlineStr"/>
      <c r="J68" s="11" t="inlineStr">
        <is>
          <t>waived</t>
        </is>
      </c>
      <c r="K68" s="12" t="n">
        <v>146491</v>
      </c>
      <c r="L68" s="10" t="n"/>
      <c r="M68" s="12" t="n"/>
      <c r="N68" s="11">
        <f>IF(OR(B68="",L68=""),"",MAX(0,B68-L68))</f>
        <v/>
      </c>
      <c r="O68" s="12">
        <f>IF(K68="","",K68+IF(OR(M68="",N68=""),0,M68*N68))</f>
        <v/>
      </c>
      <c r="P68" s="11" t="n"/>
      <c r="Q68" s="12" t="n"/>
      <c r="R68" s="13">
        <f>IF(OR(Q68="",Q68=0,O68=""),"",O68/Q68)</f>
        <v/>
      </c>
      <c r="S68" s="11" t="n"/>
      <c r="T68" s="11" t="n"/>
      <c r="U68" s="11" t="n"/>
      <c r="V68" s="11" t="n"/>
      <c r="W68" s="11" t="n"/>
      <c r="X68" s="11" t="inlineStr"/>
      <c r="Y68" s="14" t="inlineStr">
        <is>
          <t>open</t>
        </is>
      </c>
      <c r="Z68" s="11" t="n"/>
      <c r="AA68" s="11" t="n"/>
      <c r="AB68" s="11" t="n"/>
      <c r="AC68" s="9" t="inlineStr">
        <is>
          <t>2001 S Ocean Blvd, Unit 203, Myrtle Beach, SC 29577. Judgment $146,491.00. Deficiency waived — final on the day.</t>
        </is>
      </c>
    </row>
    <row r="69">
      <c r="A69" s="9" t="inlineStr">
        <is>
          <t>Horry</t>
        </is>
      </c>
      <c r="B69" s="10" t="n">
        <v>46273</v>
      </c>
      <c r="C69" s="9" t="n"/>
      <c r="D69" s="11" t="inlineStr">
        <is>
          <t>2026-CP-26-01570</t>
        </is>
      </c>
      <c r="E69" s="11" t="inlineStr">
        <is>
          <t>scheduled</t>
        </is>
      </c>
      <c r="F69" s="9" t="inlineStr">
        <is>
          <t>709 Highway 90, Conway, SC 29526</t>
        </is>
      </c>
      <c r="G69" s="11" t="inlineStr">
        <is>
          <t>1380002005</t>
        </is>
      </c>
      <c r="H69" s="9" t="inlineStr"/>
      <c r="I69" s="9" t="inlineStr"/>
      <c r="J69" s="11" t="inlineStr">
        <is>
          <t>waived</t>
        </is>
      </c>
      <c r="K69" s="12" t="n">
        <v>284997.41</v>
      </c>
      <c r="L69" s="10" t="n"/>
      <c r="M69" s="12" t="n"/>
      <c r="N69" s="11">
        <f>IF(OR(B69="",L69=""),"",MAX(0,B69-L69))</f>
        <v/>
      </c>
      <c r="O69" s="12">
        <f>IF(K69="","",K69+IF(OR(M69="",N69=""),0,M69*N69))</f>
        <v/>
      </c>
      <c r="P69" s="11" t="n"/>
      <c r="Q69" s="12" t="n"/>
      <c r="R69" s="13">
        <f>IF(OR(Q69="",Q69=0,O69=""),"",O69/Q69)</f>
        <v/>
      </c>
      <c r="S69" s="11" t="n"/>
      <c r="T69" s="11" t="n"/>
      <c r="U69" s="11" t="n"/>
      <c r="V69" s="11" t="n"/>
      <c r="W69" s="11" t="n"/>
      <c r="X69" s="11" t="inlineStr"/>
      <c r="Y69" s="14" t="inlineStr">
        <is>
          <t>open</t>
        </is>
      </c>
      <c r="Z69" s="11" t="n"/>
      <c r="AA69" s="11" t="n"/>
      <c r="AB69" s="11" t="n"/>
      <c r="AC69" s="9" t="inlineStr">
        <is>
          <t>709 Highway 90, Conway, SC 29526. Judgment $284,997.41. Deficiency waived — final on the day.</t>
        </is>
      </c>
    </row>
    <row r="70">
      <c r="A70" s="9" t="inlineStr">
        <is>
          <t>Horry</t>
        </is>
      </c>
      <c r="B70" s="10" t="n">
        <v>46273</v>
      </c>
      <c r="C70" s="9" t="n"/>
      <c r="D70" s="11" t="inlineStr">
        <is>
          <t>2012-CP-26-04357</t>
        </is>
      </c>
      <c r="E70" s="11" t="inlineStr">
        <is>
          <t>scheduled</t>
        </is>
      </c>
      <c r="F70" s="9" t="inlineStr">
        <is>
          <t>966 Willowbend Drive, Myrtle Beach, SC 29579</t>
        </is>
      </c>
      <c r="G70" s="11" t="inlineStr">
        <is>
          <t>1642201183</t>
        </is>
      </c>
      <c r="H70" s="9" t="inlineStr"/>
      <c r="I70" s="9" t="inlineStr"/>
      <c r="J70" s="11" t="inlineStr">
        <is>
          <t>waived</t>
        </is>
      </c>
      <c r="K70" s="12" t="n">
        <v>589862.15</v>
      </c>
      <c r="L70" s="10" t="n"/>
      <c r="M70" s="12" t="n"/>
      <c r="N70" s="11">
        <f>IF(OR(B70="",L70=""),"",MAX(0,B70-L70))</f>
        <v/>
      </c>
      <c r="O70" s="12">
        <f>IF(K70="","",K70+IF(OR(M70="",N70=""),0,M70*N70))</f>
        <v/>
      </c>
      <c r="P70" s="11" t="n"/>
      <c r="Q70" s="12" t="n"/>
      <c r="R70" s="13">
        <f>IF(OR(Q70="",Q70=0,O70=""),"",O70/Q70)</f>
        <v/>
      </c>
      <c r="S70" s="11" t="n"/>
      <c r="T70" s="11" t="n"/>
      <c r="U70" s="11" t="n"/>
      <c r="V70" s="11" t="n"/>
      <c r="W70" s="11" t="n"/>
      <c r="X70" s="11" t="inlineStr"/>
      <c r="Y70" s="14" t="inlineStr">
        <is>
          <t>open</t>
        </is>
      </c>
      <c r="Z70" s="11" t="n"/>
      <c r="AA70" s="11" t="n"/>
      <c r="AB70" s="11" t="n"/>
      <c r="AC70" s="9" t="inlineStr">
        <is>
          <t>966 Willowbend Drive, Myrtle Beach, SC 29579. Judgment $589,862.15. Deficiency waived — final on the day.</t>
        </is>
      </c>
    </row>
    <row r="71">
      <c r="A71" s="9" t="inlineStr">
        <is>
          <t>Horry</t>
        </is>
      </c>
      <c r="B71" s="10" t="n">
        <v>46273</v>
      </c>
      <c r="C71" s="9" t="n"/>
      <c r="D71" s="11" t="inlineStr">
        <is>
          <t>2022-CP-26-05695</t>
        </is>
      </c>
      <c r="E71" s="11" t="inlineStr">
        <is>
          <t>scheduled</t>
        </is>
      </c>
      <c r="F71" s="9" t="inlineStr">
        <is>
          <t>4395 Bayberry Drive, Little River, SC 29566</t>
        </is>
      </c>
      <c r="G71" s="11" t="inlineStr">
        <is>
          <t>1302701056</t>
        </is>
      </c>
      <c r="H71" s="9" t="inlineStr"/>
      <c r="I71" s="9" t="inlineStr"/>
      <c r="J71" s="11" t="inlineStr">
        <is>
          <t>waived</t>
        </is>
      </c>
      <c r="K71" s="12" t="n">
        <v>93632.2</v>
      </c>
      <c r="L71" s="10" t="n"/>
      <c r="M71" s="12" t="n"/>
      <c r="N71" s="11">
        <f>IF(OR(B71="",L71=""),"",MAX(0,B71-L71))</f>
        <v/>
      </c>
      <c r="O71" s="12">
        <f>IF(K71="","",K71+IF(OR(M71="",N71=""),0,M71*N71))</f>
        <v/>
      </c>
      <c r="P71" s="11" t="n"/>
      <c r="Q71" s="12" t="n"/>
      <c r="R71" s="13">
        <f>IF(OR(Q71="",Q71=0,O71=""),"",O71/Q71)</f>
        <v/>
      </c>
      <c r="S71" s="11" t="n"/>
      <c r="T71" s="11" t="n"/>
      <c r="U71" s="11" t="n"/>
      <c r="V71" s="11" t="n"/>
      <c r="W71" s="11" t="n"/>
      <c r="X71" s="11" t="inlineStr"/>
      <c r="Y71" s="14" t="inlineStr">
        <is>
          <t>open</t>
        </is>
      </c>
      <c r="Z71" s="11" t="n"/>
      <c r="AA71" s="11" t="n"/>
      <c r="AB71" s="11" t="n"/>
      <c r="AC71" s="9" t="inlineStr">
        <is>
          <t>4395 Bayberry Drive, Little River, SC 29566. Judgment $93,632.20. Deficiency waived — final on the day.</t>
        </is>
      </c>
    </row>
    <row r="72">
      <c r="A72" s="9" t="inlineStr">
        <is>
          <t>Horry</t>
        </is>
      </c>
      <c r="B72" s="10" t="n">
        <v>46273</v>
      </c>
      <c r="C72" s="9" t="n"/>
      <c r="D72" s="11" t="inlineStr">
        <is>
          <t>2026-CP-26-01007</t>
        </is>
      </c>
      <c r="E72" s="11" t="inlineStr">
        <is>
          <t>scheduled</t>
        </is>
      </c>
      <c r="F72" s="9" t="inlineStr">
        <is>
          <t>232 Waterfall Circle, Little River, SC 29566</t>
        </is>
      </c>
      <c r="G72" s="11" t="inlineStr">
        <is>
          <t>1303301099</t>
        </is>
      </c>
      <c r="H72" s="9" t="inlineStr"/>
      <c r="I72" s="9" t="inlineStr"/>
      <c r="J72" s="11" t="inlineStr">
        <is>
          <t>waived</t>
        </is>
      </c>
      <c r="K72" s="12" t="n">
        <v>88145.75</v>
      </c>
      <c r="L72" s="10" t="n"/>
      <c r="M72" s="12" t="n"/>
      <c r="N72" s="11">
        <f>IF(OR(B72="",L72=""),"",MAX(0,B72-L72))</f>
        <v/>
      </c>
      <c r="O72" s="12">
        <f>IF(K72="","",K72+IF(OR(M72="",N72=""),0,M72*N72))</f>
        <v/>
      </c>
      <c r="P72" s="11" t="n"/>
      <c r="Q72" s="12" t="n"/>
      <c r="R72" s="13">
        <f>IF(OR(Q72="",Q72=0,O72=""),"",O72/Q72)</f>
        <v/>
      </c>
      <c r="S72" s="11" t="n"/>
      <c r="T72" s="11" t="n"/>
      <c r="U72" s="11" t="n"/>
      <c r="V72" s="11" t="n"/>
      <c r="W72" s="11" t="n"/>
      <c r="X72" s="11" t="inlineStr"/>
      <c r="Y72" s="14" t="inlineStr">
        <is>
          <t>open</t>
        </is>
      </c>
      <c r="Z72" s="11" t="n"/>
      <c r="AA72" s="11" t="n"/>
      <c r="AB72" s="11" t="n"/>
      <c r="AC72" s="9" t="inlineStr">
        <is>
          <t>232 Waterfall Circle, Little River, SC 29566. Judgment $88,145.75. Deficiency waived — final on the day.</t>
        </is>
      </c>
    </row>
    <row r="73">
      <c r="A73" s="9" t="inlineStr">
        <is>
          <t>Horry</t>
        </is>
      </c>
      <c r="B73" s="10" t="n">
        <v>46273</v>
      </c>
      <c r="C73" s="9" t="n"/>
      <c r="D73" s="11" t="inlineStr">
        <is>
          <t>2025-CP-26-02197</t>
        </is>
      </c>
      <c r="E73" s="11" t="inlineStr">
        <is>
          <t>scheduled</t>
        </is>
      </c>
      <c r="F73" s="9" t="inlineStr">
        <is>
          <t>3271 Lyndon Drive, Little River, SC 29566</t>
        </is>
      </c>
      <c r="G73" s="11" t="inlineStr">
        <is>
          <t>1301801078</t>
        </is>
      </c>
      <c r="H73" s="9" t="inlineStr"/>
      <c r="I73" s="9" t="inlineStr"/>
      <c r="J73" s="11" t="inlineStr">
        <is>
          <t>waived</t>
        </is>
      </c>
      <c r="K73" s="12" t="n">
        <v>207547.1</v>
      </c>
      <c r="L73" s="10" t="n"/>
      <c r="M73" s="12" t="n"/>
      <c r="N73" s="11">
        <f>IF(OR(B73="",L73=""),"",MAX(0,B73-L73))</f>
        <v/>
      </c>
      <c r="O73" s="12">
        <f>IF(K73="","",K73+IF(OR(M73="",N73=""),0,M73*N73))</f>
        <v/>
      </c>
      <c r="P73" s="11" t="n"/>
      <c r="Q73" s="12" t="n"/>
      <c r="R73" s="13">
        <f>IF(OR(Q73="",Q73=0,O73=""),"",O73/Q73)</f>
        <v/>
      </c>
      <c r="S73" s="11" t="n"/>
      <c r="T73" s="11" t="n"/>
      <c r="U73" s="11" t="n"/>
      <c r="V73" s="11" t="n"/>
      <c r="W73" s="11" t="n"/>
      <c r="X73" s="11" t="inlineStr"/>
      <c r="Y73" s="14" t="inlineStr">
        <is>
          <t>open</t>
        </is>
      </c>
      <c r="Z73" s="11" t="n"/>
      <c r="AA73" s="11" t="n"/>
      <c r="AB73" s="11" t="n"/>
      <c r="AC73" s="9" t="inlineStr">
        <is>
          <t>3271 Lyndon Drive, Little River, SC 29566. Judgment $207,547.10. Deficiency waived — final on the day.</t>
        </is>
      </c>
    </row>
    <row r="74">
      <c r="A74" s="9" t="inlineStr">
        <is>
          <t>Horry</t>
        </is>
      </c>
      <c r="B74" s="10" t="n">
        <v>46273</v>
      </c>
      <c r="C74" s="9" t="n"/>
      <c r="D74" s="11" t="inlineStr">
        <is>
          <t>2025-CP-26-08959</t>
        </is>
      </c>
      <c r="E74" s="11" t="inlineStr">
        <is>
          <t>scheduled</t>
        </is>
      </c>
      <c r="F74" s="9" t="inlineStr">
        <is>
          <t>4242 Bonaire Lane, Little River, SC 29566</t>
        </is>
      </c>
      <c r="G74" s="11" t="n"/>
      <c r="H74" s="9" t="inlineStr"/>
      <c r="I74" s="9" t="inlineStr"/>
      <c r="J74" s="11" t="inlineStr">
        <is>
          <t>waived</t>
        </is>
      </c>
      <c r="K74" s="12" t="n">
        <v>196622.79</v>
      </c>
      <c r="L74" s="10" t="n"/>
      <c r="M74" s="12" t="n"/>
      <c r="N74" s="11">
        <f>IF(OR(B74="",L74=""),"",MAX(0,B74-L74))</f>
        <v/>
      </c>
      <c r="O74" s="12">
        <f>IF(K74="","",K74+IF(OR(M74="",N74=""),0,M74*N74))</f>
        <v/>
      </c>
      <c r="P74" s="11" t="n"/>
      <c r="Q74" s="12" t="n"/>
      <c r="R74" s="13">
        <f>IF(OR(Q74="",Q74=0,O74=""),"",O74/Q74)</f>
        <v/>
      </c>
      <c r="S74" s="11" t="n"/>
      <c r="T74" s="11" t="n"/>
      <c r="U74" s="11" t="n"/>
      <c r="V74" s="11" t="n"/>
      <c r="W74" s="11" t="n"/>
      <c r="X74" s="11" t="inlineStr"/>
      <c r="Y74" s="14" t="inlineStr">
        <is>
          <t>open</t>
        </is>
      </c>
      <c r="Z74" s="11" t="n"/>
      <c r="AA74" s="11" t="n"/>
      <c r="AB74" s="11" t="n"/>
      <c r="AC74" s="9" t="inlineStr">
        <is>
          <t>4242 Bonaire Lane, Little River, SC 29566. Judgment $196,622.79. Deficiency waived — final on the day.</t>
        </is>
      </c>
    </row>
    <row r="75">
      <c r="A75" s="9" t="inlineStr">
        <is>
          <t>Horry</t>
        </is>
      </c>
      <c r="B75" s="10" t="n">
        <v>46273</v>
      </c>
      <c r="C75" s="9" t="n"/>
      <c r="D75" s="11" t="inlineStr">
        <is>
          <t>2026-CP-26-02042</t>
        </is>
      </c>
      <c r="E75" s="11" t="inlineStr">
        <is>
          <t>scheduled</t>
        </is>
      </c>
      <c r="F75" s="9" t="inlineStr">
        <is>
          <t>1316 Tidway Circle, Conway, SC 29527</t>
        </is>
      </c>
      <c r="G75" s="11" t="inlineStr">
        <is>
          <t>1481901046</t>
        </is>
      </c>
      <c r="H75" s="9" t="inlineStr"/>
      <c r="I75" s="9" t="inlineStr"/>
      <c r="J75" s="11" t="inlineStr">
        <is>
          <t>waived</t>
        </is>
      </c>
      <c r="K75" s="12" t="n">
        <v>92734.27</v>
      </c>
      <c r="L75" s="10" t="n"/>
      <c r="M75" s="12" t="n"/>
      <c r="N75" s="11">
        <f>IF(OR(B75="",L75=""),"",MAX(0,B75-L75))</f>
        <v/>
      </c>
      <c r="O75" s="12">
        <f>IF(K75="","",K75+IF(OR(M75="",N75=""),0,M75*N75))</f>
        <v/>
      </c>
      <c r="P75" s="11" t="n"/>
      <c r="Q75" s="12" t="n"/>
      <c r="R75" s="13">
        <f>IF(OR(Q75="",Q75=0,O75=""),"",O75/Q75)</f>
        <v/>
      </c>
      <c r="S75" s="11" t="n"/>
      <c r="T75" s="11" t="n"/>
      <c r="U75" s="11" t="n"/>
      <c r="V75" s="11" t="n"/>
      <c r="W75" s="11" t="n"/>
      <c r="X75" s="11" t="inlineStr"/>
      <c r="Y75" s="14" t="inlineStr">
        <is>
          <t>open</t>
        </is>
      </c>
      <c r="Z75" s="11" t="n"/>
      <c r="AA75" s="11" t="n"/>
      <c r="AB75" s="11" t="n"/>
      <c r="AC75" s="9" t="inlineStr">
        <is>
          <t>1316 Tidway Circle, Conway, SC 29527. Judgment $92,734.27. Deficiency waived — final on the day.</t>
        </is>
      </c>
    </row>
    <row r="76">
      <c r="A76" s="9" t="inlineStr">
        <is>
          <t>Horry</t>
        </is>
      </c>
      <c r="B76" s="10" t="n">
        <v>46273</v>
      </c>
      <c r="C76" s="9" t="n"/>
      <c r="D76" s="11" t="inlineStr">
        <is>
          <t>2026-CP-26-00192</t>
        </is>
      </c>
      <c r="E76" s="11" t="inlineStr">
        <is>
          <t>scheduled</t>
        </is>
      </c>
      <c r="F76" s="9" t="inlineStr">
        <is>
          <t>1505 Dunn Shortcut Road, Conway, SC 29527</t>
        </is>
      </c>
      <c r="G76" s="11" t="inlineStr">
        <is>
          <t>1210003058</t>
        </is>
      </c>
      <c r="H76" s="9" t="inlineStr"/>
      <c r="I76" s="9" t="inlineStr"/>
      <c r="J76" s="11" t="inlineStr">
        <is>
          <t>waived</t>
        </is>
      </c>
      <c r="K76" s="12" t="n">
        <v>238913.77</v>
      </c>
      <c r="L76" s="10" t="n"/>
      <c r="M76" s="12" t="n"/>
      <c r="N76" s="11">
        <f>IF(OR(B76="",L76=""),"",MAX(0,B76-L76))</f>
        <v/>
      </c>
      <c r="O76" s="12">
        <f>IF(K76="","",K76+IF(OR(M76="",N76=""),0,M76*N76))</f>
        <v/>
      </c>
      <c r="P76" s="11" t="n"/>
      <c r="Q76" s="12" t="n"/>
      <c r="R76" s="13">
        <f>IF(OR(Q76="",Q76=0,O76=""),"",O76/Q76)</f>
        <v/>
      </c>
      <c r="S76" s="11" t="n"/>
      <c r="T76" s="11" t="n"/>
      <c r="U76" s="11" t="n"/>
      <c r="V76" s="11" t="n"/>
      <c r="W76" s="11" t="n"/>
      <c r="X76" s="11" t="inlineStr"/>
      <c r="Y76" s="14" t="inlineStr">
        <is>
          <t>open</t>
        </is>
      </c>
      <c r="Z76" s="11" t="n"/>
      <c r="AA76" s="11" t="n"/>
      <c r="AB76" s="11" t="n"/>
      <c r="AC76" s="9" t="inlineStr">
        <is>
          <t>1505 Dunn Shortcut Road, Conway, SC 29527. Judgment $238,913.77. Deficiency waived — final on the day.</t>
        </is>
      </c>
    </row>
    <row r="77">
      <c r="A77" s="9" t="inlineStr">
        <is>
          <t>Pickens</t>
        </is>
      </c>
      <c r="B77" s="10" t="n">
        <v>46273</v>
      </c>
      <c r="C77" s="9" t="n">
        <v>1</v>
      </c>
      <c r="D77" s="11" t="inlineStr">
        <is>
          <t>2025-CP-39-01688</t>
        </is>
      </c>
      <c r="E77" s="11" t="inlineStr">
        <is>
          <t>cancelled</t>
        </is>
      </c>
      <c r="F77" s="9" t="inlineStr">
        <is>
          <t>443 MARY ANN ST., EASLEY, SC 29640</t>
        </is>
      </c>
      <c r="G77" s="11" t="inlineStr">
        <is>
          <t>5110-18-40-1736</t>
        </is>
      </c>
      <c r="H77" s="9" t="inlineStr">
        <is>
          <t>FINANCE OF AMERICA REVERSE, LLC</t>
        </is>
      </c>
      <c r="I77" s="9" t="inlineStr">
        <is>
          <t>ESTATE OF PATRICIA TUCKER CAPPS, ET AL</t>
        </is>
      </c>
      <c r="J77" s="11" t="inlineStr">
        <is>
          <t>unknown</t>
        </is>
      </c>
      <c r="K77" s="12" t="n"/>
      <c r="L77" s="10" t="n"/>
      <c r="M77" s="12" t="n"/>
      <c r="N77" s="11">
        <f>IF(OR(B77="",L77=""),"",MAX(0,B77-L77))</f>
        <v/>
      </c>
      <c r="O77" s="12">
        <f>IF(K77="","",K77+IF(OR(M77="",N77=""),0,M77*N77))</f>
        <v/>
      </c>
      <c r="P77" s="11" t="n"/>
      <c r="Q77" s="12" t="n"/>
      <c r="R77" s="13">
        <f>IF(OR(Q77="",Q77=0,O77=""),"",O77/Q77)</f>
        <v/>
      </c>
      <c r="S77" s="11" t="n"/>
      <c r="T77" s="11" t="n"/>
      <c r="U77" s="11" t="n"/>
      <c r="V77" s="11" t="n"/>
      <c r="W77" s="11" t="n"/>
      <c r="X77" s="11" t="inlineStr"/>
      <c r="Y77" s="11" t="n"/>
      <c r="Z77" s="11" t="n"/>
      <c r="AA77" s="11" t="n"/>
      <c r="AB77" s="11" t="n"/>
      <c r="AC77" s="9" t="inlineStr">
        <is>
          <t>443 MARY ANN ST., EASLEY, SC 29640. Judgment $ not pulled yet (needs the PC run). Deficiency not stated — check the notice. STATUS: CANCELLED.</t>
        </is>
      </c>
    </row>
    <row r="78">
      <c r="A78" s="9" t="inlineStr">
        <is>
          <t>Pickens</t>
        </is>
      </c>
      <c r="B78" s="10" t="n">
        <v>46273</v>
      </c>
      <c r="C78" s="9" t="n">
        <v>2</v>
      </c>
      <c r="D78" s="11" t="inlineStr">
        <is>
          <t>2024-CP-39-00316</t>
        </is>
      </c>
      <c r="E78" s="11" t="inlineStr">
        <is>
          <t>scheduled</t>
        </is>
      </c>
      <c r="F78" s="9" t="inlineStr">
        <is>
          <t>103 WINDAMERE CT., EASLEY, SC 29640</t>
        </is>
      </c>
      <c r="G78" s="11" t="inlineStr">
        <is>
          <t>5110-20-82-3366</t>
        </is>
      </c>
      <c r="H78" s="9" t="inlineStr">
        <is>
          <t>US BANK TRUST NA</t>
        </is>
      </c>
      <c r="I78" s="9" t="inlineStr">
        <is>
          <t>HEATHER HOWELL, PR, ET AL</t>
        </is>
      </c>
      <c r="J78" s="11" t="inlineStr">
        <is>
          <t>unknown</t>
        </is>
      </c>
      <c r="K78" s="12" t="n"/>
      <c r="L78" s="10" t="n"/>
      <c r="M78" s="12" t="n"/>
      <c r="N78" s="11">
        <f>IF(OR(B78="",L78=""),"",MAX(0,B78-L78))</f>
        <v/>
      </c>
      <c r="O78" s="12">
        <f>IF(K78="","",K78+IF(OR(M78="",N78=""),0,M78*N78))</f>
        <v/>
      </c>
      <c r="P78" s="11" t="n"/>
      <c r="Q78" s="12" t="n"/>
      <c r="R78" s="13">
        <f>IF(OR(Q78="",Q78=0,O78=""),"",O78/Q78)</f>
        <v/>
      </c>
      <c r="S78" s="11" t="n"/>
      <c r="T78" s="11" t="n"/>
      <c r="U78" s="11" t="n"/>
      <c r="V78" s="11" t="n"/>
      <c r="W78" s="11" t="n"/>
      <c r="X78" s="11" t="inlineStr"/>
      <c r="Y78" s="11" t="n"/>
      <c r="Z78" s="11" t="n"/>
      <c r="AA78" s="11" t="n"/>
      <c r="AB78" s="11" t="n"/>
      <c r="AC78" s="9" t="inlineStr">
        <is>
          <t>103 WINDAMERE CT., EASLEY, SC 29640. Judgment $ not pulled yet (needs the PC run). Deficiency not stated — check the notice.</t>
        </is>
      </c>
    </row>
    <row r="79">
      <c r="A79" s="9" t="inlineStr">
        <is>
          <t>Pickens</t>
        </is>
      </c>
      <c r="B79" s="10" t="n">
        <v>46273</v>
      </c>
      <c r="C79" s="9" t="n">
        <v>3</v>
      </c>
      <c r="D79" s="11" t="inlineStr">
        <is>
          <t>2018-CP-39-00369</t>
        </is>
      </c>
      <c r="E79" s="11" t="inlineStr">
        <is>
          <t>scheduled</t>
        </is>
      </c>
      <c r="F79" s="9" t="inlineStr">
        <is>
          <t>649 N. NORRIS DR., LIBERTY, SC 29657</t>
        </is>
      </c>
      <c r="G79" s="11" t="inlineStr">
        <is>
          <t>4077-15-62-1769</t>
        </is>
      </c>
      <c r="H79" s="9" t="inlineStr">
        <is>
          <t>NATIONSTAR MORTGAGE LLC DBA MR. COOPER</t>
        </is>
      </c>
      <c r="I79" s="9" t="inlineStr">
        <is>
          <t>JENNIFER RENEE KEPHART, ET AL</t>
        </is>
      </c>
      <c r="J79" s="11" t="inlineStr">
        <is>
          <t>unknown</t>
        </is>
      </c>
      <c r="K79" s="12" t="n"/>
      <c r="L79" s="10" t="n"/>
      <c r="M79" s="12" t="n"/>
      <c r="N79" s="11">
        <f>IF(OR(B79="",L79=""),"",MAX(0,B79-L79))</f>
        <v/>
      </c>
      <c r="O79" s="12">
        <f>IF(K79="","",K79+IF(OR(M79="",N79=""),0,M79*N79))</f>
        <v/>
      </c>
      <c r="P79" s="11" t="n"/>
      <c r="Q79" s="12" t="n"/>
      <c r="R79" s="13">
        <f>IF(OR(Q79="",Q79=0,O79=""),"",O79/Q79)</f>
        <v/>
      </c>
      <c r="S79" s="11" t="n"/>
      <c r="T79" s="11" t="n"/>
      <c r="U79" s="11" t="n"/>
      <c r="V79" s="11" t="n"/>
      <c r="W79" s="11" t="n"/>
      <c r="X79" s="11" t="inlineStr"/>
      <c r="Y79" s="11" t="n"/>
      <c r="Z79" s="11" t="n"/>
      <c r="AA79" s="11" t="n"/>
      <c r="AB79" s="11" t="n"/>
      <c r="AC79" s="9" t="inlineStr">
        <is>
          <t>649 N. NORRIS DR., LIBERTY, SC 29657. Judgment $ not pulled yet (needs the PC run). Deficiency not stated — check the notice.</t>
        </is>
      </c>
    </row>
    <row r="80">
      <c r="A80" s="9" t="inlineStr">
        <is>
          <t>Pickens</t>
        </is>
      </c>
      <c r="B80" s="10" t="n">
        <v>46273</v>
      </c>
      <c r="C80" s="9" t="n">
        <v>4</v>
      </c>
      <c r="D80" s="11" t="inlineStr">
        <is>
          <t>2026-CP-39-00125</t>
        </is>
      </c>
      <c r="E80" s="11" t="inlineStr">
        <is>
          <t>scheduled</t>
        </is>
      </c>
      <c r="F80" s="9" t="inlineStr">
        <is>
          <t>365 GIBSON RD., EASLEY, SC 29640</t>
        </is>
      </c>
      <c r="G80" s="11" t="inlineStr">
        <is>
          <t>5111-01-47-3602</t>
        </is>
      </c>
      <c r="H80" s="9" t="inlineStr">
        <is>
          <t>LAKEVIEW LOAN SERVICING LLC</t>
        </is>
      </c>
      <c r="I80" s="9" t="inlineStr">
        <is>
          <t>NICOLE MARIA JACOBS, ET AL</t>
        </is>
      </c>
      <c r="J80" s="11" t="inlineStr">
        <is>
          <t>unknown</t>
        </is>
      </c>
      <c r="K80" s="12" t="n"/>
      <c r="L80" s="10" t="n"/>
      <c r="M80" s="12" t="n"/>
      <c r="N80" s="11">
        <f>IF(OR(B80="",L80=""),"",MAX(0,B80-L80))</f>
        <v/>
      </c>
      <c r="O80" s="12">
        <f>IF(K80="","",K80+IF(OR(M80="",N80=""),0,M80*N80))</f>
        <v/>
      </c>
      <c r="P80" s="11" t="n"/>
      <c r="Q80" s="12" t="n"/>
      <c r="R80" s="13">
        <f>IF(OR(Q80="",Q80=0,O80=""),"",O80/Q80)</f>
        <v/>
      </c>
      <c r="S80" s="11" t="n"/>
      <c r="T80" s="11" t="n"/>
      <c r="U80" s="11" t="n"/>
      <c r="V80" s="11" t="n"/>
      <c r="W80" s="11" t="n"/>
      <c r="X80" s="11" t="inlineStr"/>
      <c r="Y80" s="11" t="n"/>
      <c r="Z80" s="11" t="n"/>
      <c r="AA80" s="11" t="n"/>
      <c r="AB80" s="11" t="n"/>
      <c r="AC80" s="9" t="inlineStr">
        <is>
          <t>365 GIBSON RD., EASLEY, SC 29640. Judgment $ not pulled yet (needs the PC run). Deficiency not stated — check the notice.</t>
        </is>
      </c>
    </row>
    <row r="81">
      <c r="A81" s="9" t="inlineStr">
        <is>
          <t>Pickens</t>
        </is>
      </c>
      <c r="B81" s="10" t="n">
        <v>46273</v>
      </c>
      <c r="C81" s="9" t="n">
        <v>5</v>
      </c>
      <c r="D81" s="11" t="inlineStr">
        <is>
          <t>2026-CP-39-00009</t>
        </is>
      </c>
      <c r="E81" s="11" t="inlineStr">
        <is>
          <t>cancelled</t>
        </is>
      </c>
      <c r="F81" s="9" t="inlineStr">
        <is>
          <t>105 SPIRIT MOUNTAIN LN., EASLEY, SC 29642</t>
        </is>
      </c>
      <c r="G81" s="11" t="inlineStr">
        <is>
          <t>5018-11-57-8000</t>
        </is>
      </c>
      <c r="H81" s="9" t="inlineStr">
        <is>
          <t>UNITED COMMUNITY BANK</t>
        </is>
      </c>
      <c r="I81" s="9" t="inlineStr">
        <is>
          <t>THE TOPAZ GROUP LLC DBA AMICI ITALIAN CAFÉ, ET AL</t>
        </is>
      </c>
      <c r="J81" s="11" t="inlineStr">
        <is>
          <t>demanded</t>
        </is>
      </c>
      <c r="K81" s="12" t="n"/>
      <c r="L81" s="10" t="n"/>
      <c r="M81" s="12" t="n"/>
      <c r="N81" s="11">
        <f>IF(OR(B81="",L81=""),"",MAX(0,B81-L81))</f>
        <v/>
      </c>
      <c r="O81" s="12">
        <f>IF(K81="","",K81+IF(OR(M81="",N81=""),0,M81*N81))</f>
        <v/>
      </c>
      <c r="P81" s="11" t="n"/>
      <c r="Q81" s="12" t="n"/>
      <c r="R81" s="13">
        <f>IF(OR(Q81="",Q81=0,O81=""),"",O81/Q81)</f>
        <v/>
      </c>
      <c r="S81" s="11" t="n"/>
      <c r="T81" s="11" t="n"/>
      <c r="U81" s="11" t="n"/>
      <c r="V81" s="11" t="n"/>
      <c r="W81" s="11" t="n"/>
      <c r="X81" s="11" t="inlineStr"/>
      <c r="Y81" s="11" t="n"/>
      <c r="Z81" s="11" t="n"/>
      <c r="AA81" s="11" t="n"/>
      <c r="AB81" s="11" t="n"/>
      <c r="AC81" s="9" t="inlineStr">
        <is>
          <t>105 SPIRIT MOUNTAIN LN., EASLEY, SC 29642. Judgment $ not pulled yet (needs the PC run). DEFICIENCY DEMANDED — open 30 days (reopens OCTOBER 8, 2026). STATUS: CANCELLED.</t>
        </is>
      </c>
    </row>
    <row r="82">
      <c r="A82" s="9" t="inlineStr">
        <is>
          <t>Pickens</t>
        </is>
      </c>
      <c r="B82" s="10" t="n">
        <v>46273</v>
      </c>
      <c r="C82" s="9" t="n">
        <v>6</v>
      </c>
      <c r="D82" s="11" t="inlineStr">
        <is>
          <t>2025-CP-39-01333</t>
        </is>
      </c>
      <c r="E82" s="11" t="inlineStr">
        <is>
          <t>cancelled</t>
        </is>
      </c>
      <c r="F82" s="9" t="inlineStr">
        <is>
          <t>220 AMSTERDAM RD., LIBERTY, SC 29657</t>
        </is>
      </c>
      <c r="G82" s="11" t="inlineStr">
        <is>
          <t>5008-10-46-2969</t>
        </is>
      </c>
      <c r="H82" s="9" t="inlineStr">
        <is>
          <t>LAKEVIEW LOAN SERVICING, LLC</t>
        </is>
      </c>
      <c r="I82" s="9" t="inlineStr">
        <is>
          <t>RYAN L. GOLDEN, ET AL</t>
        </is>
      </c>
      <c r="J82" s="11" t="inlineStr">
        <is>
          <t>unknown</t>
        </is>
      </c>
      <c r="K82" s="12" t="n"/>
      <c r="L82" s="10" t="n"/>
      <c r="M82" s="12" t="n"/>
      <c r="N82" s="11">
        <f>IF(OR(B82="",L82=""),"",MAX(0,B82-L82))</f>
        <v/>
      </c>
      <c r="O82" s="12">
        <f>IF(K82="","",K82+IF(OR(M82="",N82=""),0,M82*N82))</f>
        <v/>
      </c>
      <c r="P82" s="11" t="n"/>
      <c r="Q82" s="12" t="n"/>
      <c r="R82" s="13">
        <f>IF(OR(Q82="",Q82=0,O82=""),"",O82/Q82)</f>
        <v/>
      </c>
      <c r="S82" s="11" t="n"/>
      <c r="T82" s="11" t="n"/>
      <c r="U82" s="11" t="n"/>
      <c r="V82" s="11" t="n"/>
      <c r="W82" s="11" t="n"/>
      <c r="X82" s="11" t="inlineStr"/>
      <c r="Y82" s="11" t="n"/>
      <c r="Z82" s="11" t="n"/>
      <c r="AA82" s="11" t="n"/>
      <c r="AB82" s="11" t="n"/>
      <c r="AC82" s="9" t="inlineStr">
        <is>
          <t>220 AMSTERDAM RD., LIBERTY, SC 29657. Judgment $ not pulled yet (needs the PC run). Deficiency not stated — check the notice. STATUS: CANCELLED.</t>
        </is>
      </c>
    </row>
    <row r="83">
      <c r="A83" s="9" t="inlineStr">
        <is>
          <t>Pickens</t>
        </is>
      </c>
      <c r="B83" s="10" t="n">
        <v>46273</v>
      </c>
      <c r="C83" s="9" t="n">
        <v>7</v>
      </c>
      <c r="D83" s="11" t="inlineStr">
        <is>
          <t>2024-CP-39-00803</t>
        </is>
      </c>
      <c r="E83" s="11" t="inlineStr">
        <is>
          <t>scheduled</t>
        </is>
      </c>
      <c r="F83" s="9" t="inlineStr">
        <is>
          <t>115 BLUE SKY DR., SUNSET, SC 29685</t>
        </is>
      </c>
      <c r="G83" s="11" t="inlineStr">
        <is>
          <t>4164-00-68-4910</t>
        </is>
      </c>
      <c r="H83" s="9" t="inlineStr">
        <is>
          <t>LEGACY FACTORY DIRECT HOMES, LLC</t>
        </is>
      </c>
      <c r="I83" s="9" t="inlineStr">
        <is>
          <t>TIMOTHY R. BUTLER, ET AL</t>
        </is>
      </c>
      <c r="J83" s="11" t="inlineStr">
        <is>
          <t>unknown</t>
        </is>
      </c>
      <c r="K83" s="12" t="n"/>
      <c r="L83" s="10" t="n"/>
      <c r="M83" s="12" t="n"/>
      <c r="N83" s="11">
        <f>IF(OR(B83="",L83=""),"",MAX(0,B83-L83))</f>
        <v/>
      </c>
      <c r="O83" s="12">
        <f>IF(K83="","",K83+IF(OR(M83="",N83=""),0,M83*N83))</f>
        <v/>
      </c>
      <c r="P83" s="11" t="n"/>
      <c r="Q83" s="12" t="n"/>
      <c r="R83" s="13">
        <f>IF(OR(Q83="",Q83=0,O83=""),"",O83/Q83)</f>
        <v/>
      </c>
      <c r="S83" s="11" t="n"/>
      <c r="T83" s="11" t="n"/>
      <c r="U83" s="11" t="n"/>
      <c r="V83" s="11" t="n"/>
      <c r="W83" s="11" t="n"/>
      <c r="X83" s="11" t="inlineStr"/>
      <c r="Y83" s="11" t="n"/>
      <c r="Z83" s="11" t="n"/>
      <c r="AA83" s="11" t="n"/>
      <c r="AB83" s="11" t="n"/>
      <c r="AC83" s="9" t="inlineStr">
        <is>
          <t>115 BLUE SKY DR., SUNSET, SC 29685. Judgment $ not pulled yet (needs the PC run). Deficiency not stated — check the notice.</t>
        </is>
      </c>
    </row>
    <row r="84">
      <c r="A84" s="9" t="inlineStr">
        <is>
          <t>Spartanburg</t>
        </is>
      </c>
      <c r="B84" s="10" t="n">
        <v>46273</v>
      </c>
      <c r="C84" s="9" t="n"/>
      <c r="D84" s="11" t="inlineStr">
        <is>
          <t>2023-CP-42-01464</t>
        </is>
      </c>
      <c r="E84" s="11" t="inlineStr">
        <is>
          <t>scheduled</t>
        </is>
      </c>
      <c r="F84" s="9" t="inlineStr">
        <is>
          <t>142 Birkdale Drive Spartanburg, SC 29306</t>
        </is>
      </c>
      <c r="G84" s="11" t="inlineStr">
        <is>
          <t>6-35-00-308.00</t>
        </is>
      </c>
      <c r="H84" s="9" t="inlineStr">
        <is>
          <t>U.S. Bank Trust National Association, not in its individual capacity but solely as owner trustee for RCAF Acquisition Trust</t>
        </is>
      </c>
      <c r="I84" s="9" t="inlineStr">
        <is>
          <t>Carole W Messer a/k/a Carole W Wofford; South Carolina Department of Revenue; The Carolina Country Club Real Estate Owners Association</t>
        </is>
      </c>
      <c r="J84" s="11" t="inlineStr">
        <is>
          <t>demanded</t>
        </is>
      </c>
      <c r="K84" s="12" t="n"/>
      <c r="L84" s="10" t="n"/>
      <c r="M84" s="12" t="n"/>
      <c r="N84" s="11">
        <f>IF(OR(B84="",L84=""),"",MAX(0,B84-L84))</f>
        <v/>
      </c>
      <c r="O84" s="12">
        <f>IF(K84="","",K84+IF(OR(M84="",N84=""),0,M84*N84))</f>
        <v/>
      </c>
      <c r="P84" s="11" t="inlineStr">
        <is>
          <t>3.5%</t>
        </is>
      </c>
      <c r="Q84" s="12" t="n"/>
      <c r="R84" s="13">
        <f>IF(OR(Q84="",Q84=0,O84=""),"",O84/Q84)</f>
        <v/>
      </c>
      <c r="S84" s="11" t="n"/>
      <c r="T84" s="11" t="n"/>
      <c r="U84" s="11" t="n"/>
      <c r="V84" s="11" t="n"/>
      <c r="W84" s="11" t="n"/>
      <c r="X84" s="11" t="inlineStr"/>
      <c r="Y84" s="11" t="n"/>
      <c r="Z84" s="14" t="inlineStr">
        <is>
          <t>open</t>
        </is>
      </c>
      <c r="AA84" s="11" t="n"/>
      <c r="AB84" s="11" t="n"/>
      <c r="AC84" s="9" t="inlineStr">
        <is>
          <t>142 Birkdale Drive Spartanburg, SC 29306. Judgment $ not pulled yet (needs the PC run). DEFICIENCY DEMANDED — open 30 days. Interest on bid 3.5% until compliance; 5% deposit day of sale.</t>
        </is>
      </c>
    </row>
    <row r="85">
      <c r="A85" s="9" t="inlineStr">
        <is>
          <t>Spartanburg</t>
        </is>
      </c>
      <c r="B85" s="10" t="n">
        <v>46273</v>
      </c>
      <c r="C85" s="9" t="n"/>
      <c r="D85" s="11" t="inlineStr">
        <is>
          <t>2026-CP-42-01692</t>
        </is>
      </c>
      <c r="E85" s="11" t="inlineStr">
        <is>
          <t>scheduled</t>
        </is>
      </c>
      <c r="F85" s="9" t="inlineStr">
        <is>
          <t>1172 Maryland Avenue Spartanburg, SC 29307</t>
        </is>
      </c>
      <c r="G85" s="11" t="inlineStr">
        <is>
          <t>7-09-13-070.01</t>
        </is>
      </c>
      <c r="H85" s="9" t="inlineStr">
        <is>
          <t>Wilmington Savings Fund Society, FSB, not in its individual capacity but solely as Owner Trustee for the FLIC Residential Mortgage Loan Trust 1</t>
        </is>
      </c>
      <c r="I85" s="9" t="inlineStr">
        <is>
          <t>VSWC, LLC; Willie Coleman; Daniel Dsouza</t>
        </is>
      </c>
      <c r="J85" s="11" t="inlineStr">
        <is>
          <t>waived</t>
        </is>
      </c>
      <c r="K85" s="12" t="n"/>
      <c r="L85" s="10" t="n"/>
      <c r="M85" s="12" t="n"/>
      <c r="N85" s="11">
        <f>IF(OR(B85="",L85=""),"",MAX(0,B85-L85))</f>
        <v/>
      </c>
      <c r="O85" s="12">
        <f>IF(K85="","",K85+IF(OR(M85="",N85=""),0,M85*N85))</f>
        <v/>
      </c>
      <c r="P85" s="11" t="inlineStr">
        <is>
          <t>7%</t>
        </is>
      </c>
      <c r="Q85" s="12" t="n"/>
      <c r="R85" s="13">
        <f>IF(OR(Q85="",Q85=0,O85=""),"",O85/Q85)</f>
        <v/>
      </c>
      <c r="S85" s="11" t="n"/>
      <c r="T85" s="11" t="n"/>
      <c r="U85" s="11" t="n"/>
      <c r="V85" s="11" t="n"/>
      <c r="W85" s="11" t="n"/>
      <c r="X85" s="11" t="inlineStr"/>
      <c r="Y85" s="11" t="n"/>
      <c r="Z85" s="14" t="inlineStr">
        <is>
          <t>open</t>
        </is>
      </c>
      <c r="AA85" s="11" t="n"/>
      <c r="AB85" s="11" t="n"/>
      <c r="AC85" s="9" t="inlineStr">
        <is>
          <t>1172 Maryland Avenue Spartanburg, SC 29307. Judgment $ not pulled yet (needs the PC run). Deficiency waived — final on the day. Interest on bid 7% until compliance; 5% deposit day of sale.</t>
        </is>
      </c>
    </row>
    <row r="86">
      <c r="A86" s="9" t="inlineStr">
        <is>
          <t>Spartanburg</t>
        </is>
      </c>
      <c r="B86" s="10" t="n">
        <v>46273</v>
      </c>
      <c r="C86" s="9" t="n"/>
      <c r="D86" s="11" t="inlineStr">
        <is>
          <t>2026-CP-42-01301</t>
        </is>
      </c>
      <c r="E86" s="11" t="inlineStr">
        <is>
          <t>scheduled</t>
        </is>
      </c>
      <c r="F86" s="9" t="inlineStr">
        <is>
          <t>1269 Kilead Court Boiling Springs, SC 29316</t>
        </is>
      </c>
      <c r="G86" s="11" t="inlineStr">
        <is>
          <t>2-51-00-018.08</t>
        </is>
      </c>
      <c r="H86" s="9" t="inlineStr">
        <is>
          <t>MidFirst Bank</t>
        </is>
      </c>
      <c r="I86" s="9" t="inlineStr">
        <is>
          <t>Kaitlyn Weathers; Austin Weathers; B5 RE Investments LLC; Standing Rock Homeowners Association</t>
        </is>
      </c>
      <c r="J86" s="11" t="inlineStr">
        <is>
          <t>waived</t>
        </is>
      </c>
      <c r="K86" s="12" t="n"/>
      <c r="L86" s="10" t="n"/>
      <c r="M86" s="12" t="n"/>
      <c r="N86" s="11">
        <f>IF(OR(B86="",L86=""),"",MAX(0,B86-L86))</f>
        <v/>
      </c>
      <c r="O86" s="12">
        <f>IF(K86="","",K86+IF(OR(M86="",N86=""),0,M86*N86))</f>
        <v/>
      </c>
      <c r="P86" s="11" t="inlineStr">
        <is>
          <t>7.125%</t>
        </is>
      </c>
      <c r="Q86" s="12" t="n"/>
      <c r="R86" s="13">
        <f>IF(OR(Q86="",Q86=0,O86=""),"",O86/Q86)</f>
        <v/>
      </c>
      <c r="S86" s="11" t="n"/>
      <c r="T86" s="11" t="n"/>
      <c r="U86" s="11" t="n"/>
      <c r="V86" s="11" t="n"/>
      <c r="W86" s="11" t="n"/>
      <c r="X86" s="11" t="inlineStr"/>
      <c r="Y86" s="11" t="n"/>
      <c r="Z86" s="14" t="inlineStr">
        <is>
          <t>open</t>
        </is>
      </c>
      <c r="AA86" s="11" t="n"/>
      <c r="AB86" s="11" t="n"/>
      <c r="AC86" s="9" t="inlineStr">
        <is>
          <t>1269 Kilead Court Boiling Springs, SC 29316. Judgment $ not pulled yet (needs the PC run). Deficiency waived — final on the day. Interest on bid 7.125% until compliance; 5% deposit day of sale.</t>
        </is>
      </c>
    </row>
    <row r="87">
      <c r="A87" s="9" t="inlineStr">
        <is>
          <t>Spartanburg</t>
        </is>
      </c>
      <c r="B87" s="10" t="n">
        <v>46273</v>
      </c>
      <c r="C87" s="9" t="n"/>
      <c r="D87" s="11" t="inlineStr">
        <is>
          <t>2025-CP-42-05920</t>
        </is>
      </c>
      <c r="E87" s="11" t="inlineStr">
        <is>
          <t>scheduled</t>
        </is>
      </c>
      <c r="F87" s="9" t="inlineStr">
        <is>
          <t>62 Woodwind Drive Spartanburg, SC 29302</t>
        </is>
      </c>
      <c r="G87" s="11" t="inlineStr">
        <is>
          <t>7-21-13-021.00</t>
        </is>
      </c>
      <c r="H87" s="9" t="inlineStr">
        <is>
          <t>Lakeview Loan Servicing, LLC</t>
        </is>
      </c>
      <c r="I87" s="9" t="inlineStr">
        <is>
          <t>Laky Yang; Thomas W. Hoelscher; Wendy B. Hoelscher</t>
        </is>
      </c>
      <c r="J87" s="11" t="inlineStr">
        <is>
          <t>waived</t>
        </is>
      </c>
      <c r="K87" s="12" t="n"/>
      <c r="L87" s="10" t="n"/>
      <c r="M87" s="12" t="n"/>
      <c r="N87" s="11">
        <f>IF(OR(B87="",L87=""),"",MAX(0,B87-L87))</f>
        <v/>
      </c>
      <c r="O87" s="12">
        <f>IF(K87="","",K87+IF(OR(M87="",N87=""),0,M87*N87))</f>
        <v/>
      </c>
      <c r="P87" s="11" t="inlineStr">
        <is>
          <t>4.99%</t>
        </is>
      </c>
      <c r="Q87" s="12" t="n"/>
      <c r="R87" s="13">
        <f>IF(OR(Q87="",Q87=0,O87=""),"",O87/Q87)</f>
        <v/>
      </c>
      <c r="S87" s="11" t="n"/>
      <c r="T87" s="11" t="n"/>
      <c r="U87" s="11" t="n"/>
      <c r="V87" s="11" t="n"/>
      <c r="W87" s="11" t="n"/>
      <c r="X87" s="11" t="inlineStr"/>
      <c r="Y87" s="11" t="n"/>
      <c r="Z87" s="14" t="inlineStr">
        <is>
          <t>open</t>
        </is>
      </c>
      <c r="AA87" s="11" t="n"/>
      <c r="AB87" s="11" t="n"/>
      <c r="AC87" s="9" t="inlineStr">
        <is>
          <t>62 Woodwind Drive Spartanburg, SC 29302. Judgment $ not pulled yet (needs the PC run). Deficiency waived — final on the day. Interest on bid 4.99% until compliance; 5% deposit day of sale.</t>
        </is>
      </c>
    </row>
    <row r="88">
      <c r="A88" s="9" t="inlineStr">
        <is>
          <t>Spartanburg</t>
        </is>
      </c>
      <c r="B88" s="10" t="n">
        <v>46273</v>
      </c>
      <c r="C88" s="9" t="n"/>
      <c r="D88" s="11" t="inlineStr">
        <is>
          <t>2025-CP-42-04034</t>
        </is>
      </c>
      <c r="E88" s="11" t="inlineStr">
        <is>
          <t>scheduled</t>
        </is>
      </c>
      <c r="F88" s="9" t="inlineStr">
        <is>
          <t>109 Nevada Street, Spartanburg, SC 29306</t>
        </is>
      </c>
      <c r="G88" s="11" t="inlineStr">
        <is>
          <t>7-16-07-130.10</t>
        </is>
      </c>
      <c r="H88" s="9" t="inlineStr">
        <is>
          <t>U.S. Bank Trust Company, National Association, as Trustee, as successor-in-interest to U.S. Bank National Association, not in its individual capacity but solely as indenture trustee, for the holders of the CIM Trust 2021-R5, Mortgage-Backed Notes, Series 2021-R5</t>
        </is>
      </c>
      <c r="I88" s="9" t="inlineStr">
        <is>
          <t>Any heirs-at-law or devisees of Bobby J. Davis a/k/a Bobby Joe Davis, Sr., deceased, their heirs, Personal Representatives, Administrators, Successors and Assigns, and all other persons or entities entitled to claim through them; all unknown persons or entities with any right, title, estate, interest in or lien upon the real estate described in the complaint herein; also any persons who may be in the military service of the United States of America, being a class designated as Richard Roe; and any unknown minors, incompetent or imprisoned person, or persons under a disability being a class designated as John Doe; Donna Davis; Michelle Darlene Davis; Shawn N. Cooper; Bobby Joe Davis, Jr.; Charles L. Davis; Michael Burch</t>
        </is>
      </c>
      <c r="J88" s="11" t="inlineStr">
        <is>
          <t>waived</t>
        </is>
      </c>
      <c r="K88" s="12" t="n"/>
      <c r="L88" s="10" t="n"/>
      <c r="M88" s="12" t="n"/>
      <c r="N88" s="11">
        <f>IF(OR(B88="",L88=""),"",MAX(0,B88-L88))</f>
        <v/>
      </c>
      <c r="O88" s="12">
        <f>IF(K88="","",K88+IF(OR(M88="",N88=""),0,M88*N88))</f>
        <v/>
      </c>
      <c r="P88" s="11" t="inlineStr"/>
      <c r="Q88" s="12" t="n"/>
      <c r="R88" s="13">
        <f>IF(OR(Q88="",Q88=0,O88=""),"",O88/Q88)</f>
        <v/>
      </c>
      <c r="S88" s="11" t="n"/>
      <c r="T88" s="11" t="n"/>
      <c r="U88" s="11" t="n"/>
      <c r="V88" s="11" t="n"/>
      <c r="W88" s="11" t="n"/>
      <c r="X88" s="11" t="inlineStr"/>
      <c r="Y88" s="11" t="n"/>
      <c r="Z88" s="14" t="inlineStr">
        <is>
          <t>open</t>
        </is>
      </c>
      <c r="AA88" s="11" t="n"/>
      <c r="AB88" s="11" t="n"/>
      <c r="AC88" s="9" t="inlineStr">
        <is>
          <t>109 Nevada Street, Spartanburg, SC 29306. Judgment $ not pulled yet (needs the PC run). Deficiency waived — final on the day.</t>
        </is>
      </c>
    </row>
    <row r="89">
      <c r="A89" s="9" t="inlineStr">
        <is>
          <t>Spartanburg</t>
        </is>
      </c>
      <c r="B89" s="10" t="n">
        <v>46273</v>
      </c>
      <c r="C89" s="9" t="n"/>
      <c r="D89" s="11" t="inlineStr">
        <is>
          <t>2025-CP-42-05179</t>
        </is>
      </c>
      <c r="E89" s="11" t="inlineStr">
        <is>
          <t>scheduled</t>
        </is>
      </c>
      <c r="F89" s="9" t="inlineStr">
        <is>
          <t>353 Honor Road, Duncan, SC 29334</t>
        </is>
      </c>
      <c r="G89" s="11" t="inlineStr">
        <is>
          <t>5-19-00-356.00</t>
        </is>
      </c>
      <c r="H89" s="9" t="inlineStr">
        <is>
          <t>Wells Fargo Bank, N.A.</t>
        </is>
      </c>
      <c r="I89" s="9" t="inlineStr">
        <is>
          <t>Any heirs-at-law or devisees of Brian P. Gilchrest, deceased, their heirs, Personal Representatives, Administrators, Successors and Assigns, and all other persons or entities entitled to claim through them; all unknown persons or entities with any right, title, estate, interest in or lien upon the real estate described in the complaint herein; also any persons who may be in the military service of the United States of America, being a class designated as Richard Roe; and any unknown minors, incompetent or imprisoned person, or persons under a disability being a class designated as John Doe; Robin Baker Gilchrest; Brian Henry Gilchrest; Elaine Marie Gilchrest; Z.L.G.(minor); The United States of America, acting by and through its Agency, The Secretary of Housing and Urban Development</t>
        </is>
      </c>
      <c r="J89" s="11" t="inlineStr">
        <is>
          <t>waived</t>
        </is>
      </c>
      <c r="K89" s="12" t="n"/>
      <c r="L89" s="10" t="n"/>
      <c r="M89" s="12" t="n"/>
      <c r="N89" s="11">
        <f>IF(OR(B89="",L89=""),"",MAX(0,B89-L89))</f>
        <v/>
      </c>
      <c r="O89" s="12">
        <f>IF(K89="","",K89+IF(OR(M89="",N89=""),0,M89*N89))</f>
        <v/>
      </c>
      <c r="P89" s="11" t="inlineStr"/>
      <c r="Q89" s="12" t="n"/>
      <c r="R89" s="13">
        <f>IF(OR(Q89="",Q89=0,O89=""),"",O89/Q89)</f>
        <v/>
      </c>
      <c r="S89" s="11" t="n"/>
      <c r="T89" s="11" t="n"/>
      <c r="U89" s="11" t="n"/>
      <c r="V89" s="11" t="n"/>
      <c r="W89" s="11" t="n"/>
      <c r="X89" s="11" t="inlineStr"/>
      <c r="Y89" s="11" t="n"/>
      <c r="Z89" s="14" t="inlineStr">
        <is>
          <t>open</t>
        </is>
      </c>
      <c r="AA89" s="11" t="n"/>
      <c r="AB89" s="11" t="n"/>
      <c r="AC89" s="9" t="inlineStr">
        <is>
          <t>353 Honor Road, Duncan, SC 29334. Judgment $ not pulled yet (needs the PC run). Deficiency waived — final on the day. USA right of redemption applies (federal lien).</t>
        </is>
      </c>
    </row>
    <row r="90">
      <c r="A90" s="9" t="inlineStr">
        <is>
          <t>Spartanburg</t>
        </is>
      </c>
      <c r="B90" s="10" t="n">
        <v>46273</v>
      </c>
      <c r="C90" s="9" t="n"/>
      <c r="D90" s="11" t="inlineStr">
        <is>
          <t>2025-CP-42-05042</t>
        </is>
      </c>
      <c r="E90" s="11" t="inlineStr">
        <is>
          <t>scheduled</t>
        </is>
      </c>
      <c r="F90" s="9" t="inlineStr">
        <is>
          <t>155 Nesbitt Road, Wellford, SC 29385</t>
        </is>
      </c>
      <c r="G90" s="11" t="inlineStr">
        <is>
          <t>5-16-13-044.00</t>
        </is>
      </c>
      <c r="H90" s="9" t="inlineStr">
        <is>
          <t>Fifth Third Bank N.A.</t>
        </is>
      </c>
      <c r="I90" s="9" t="inlineStr">
        <is>
          <t>Pamela Y. Pettigrew a/k/a Pamela Y. Lynch; The United States of America, acting by and through its Agency, The Secretary of Housing and Urban Development</t>
        </is>
      </c>
      <c r="J90" s="11" t="inlineStr">
        <is>
          <t>demanded</t>
        </is>
      </c>
      <c r="K90" s="12" t="n"/>
      <c r="L90" s="10" t="n"/>
      <c r="M90" s="12" t="n"/>
      <c r="N90" s="11">
        <f>IF(OR(B90="",L90=""),"",MAX(0,B90-L90))</f>
        <v/>
      </c>
      <c r="O90" s="12">
        <f>IF(K90="","",K90+IF(OR(M90="",N90=""),0,M90*N90))</f>
        <v/>
      </c>
      <c r="P90" s="11" t="inlineStr"/>
      <c r="Q90" s="12" t="n"/>
      <c r="R90" s="13">
        <f>IF(OR(Q90="",Q90=0,O90=""),"",O90/Q90)</f>
        <v/>
      </c>
      <c r="S90" s="11" t="n"/>
      <c r="T90" s="11" t="n"/>
      <c r="U90" s="11" t="n"/>
      <c r="V90" s="11" t="n"/>
      <c r="W90" s="11" t="n"/>
      <c r="X90" s="11" t="inlineStr"/>
      <c r="Y90" s="11" t="n"/>
      <c r="Z90" s="14" t="inlineStr">
        <is>
          <t>open</t>
        </is>
      </c>
      <c r="AA90" s="11" t="n"/>
      <c r="AB90" s="11" t="n"/>
      <c r="AC90" s="9" t="inlineStr">
        <is>
          <t>155 Nesbitt Road, Wellford, SC 29385. Judgment $ not pulled yet (needs the PC run). DEFICIENCY DEMANDED — open 30 days. USA right of redemption applies (federal lien).</t>
        </is>
      </c>
    </row>
    <row r="91">
      <c r="A91" s="9" t="inlineStr">
        <is>
          <t>Spartanburg</t>
        </is>
      </c>
      <c r="B91" s="10" t="n">
        <v>46273</v>
      </c>
      <c r="C91" s="9" t="n"/>
      <c r="D91" s="11" t="inlineStr">
        <is>
          <t>2025-CP-42-05438</t>
        </is>
      </c>
      <c r="E91" s="11" t="inlineStr">
        <is>
          <t>scheduled</t>
        </is>
      </c>
      <c r="F91" s="9" t="inlineStr">
        <is>
          <t>591 Stagecoach Road, Pauline, SC 29374</t>
        </is>
      </c>
      <c r="G91" s="11" t="inlineStr">
        <is>
          <t>6-62-00-035.03</t>
        </is>
      </c>
      <c r="H91" s="9" t="inlineStr">
        <is>
          <t>Wells Fargo Bank, N.A.</t>
        </is>
      </c>
      <c r="I91" s="9" t="inlineStr">
        <is>
          <t>David W. Teaster; The United States of America, acting by and through its Agency, The Secretary of Housing and Urban Development</t>
        </is>
      </c>
      <c r="J91" s="11" t="inlineStr">
        <is>
          <t>waived</t>
        </is>
      </c>
      <c r="K91" s="12" t="n"/>
      <c r="L91" s="10" t="n"/>
      <c r="M91" s="12" t="n"/>
      <c r="N91" s="11">
        <f>IF(OR(B91="",L91=""),"",MAX(0,B91-L91))</f>
        <v/>
      </c>
      <c r="O91" s="12">
        <f>IF(K91="","",K91+IF(OR(M91="",N91=""),0,M91*N91))</f>
        <v/>
      </c>
      <c r="P91" s="11" t="inlineStr"/>
      <c r="Q91" s="12" t="n"/>
      <c r="R91" s="13">
        <f>IF(OR(Q91="",Q91=0,O91=""),"",O91/Q91)</f>
        <v/>
      </c>
      <c r="S91" s="11" t="n"/>
      <c r="T91" s="11" t="n"/>
      <c r="U91" s="11" t="n"/>
      <c r="V91" s="11" t="n"/>
      <c r="W91" s="11" t="n"/>
      <c r="X91" s="11" t="inlineStr"/>
      <c r="Y91" s="11" t="n"/>
      <c r="Z91" s="14" t="inlineStr">
        <is>
          <t>open</t>
        </is>
      </c>
      <c r="AA91" s="11" t="n"/>
      <c r="AB91" s="11" t="n"/>
      <c r="AC91" s="9" t="inlineStr">
        <is>
          <t>591 Stagecoach Road, Pauline, SC 29374. Judgment $ not pulled yet (needs the PC run). Deficiency waived — final on the day. USA right of redemption applies (federal lien).</t>
        </is>
      </c>
    </row>
    <row r="92">
      <c r="A92" s="9" t="inlineStr">
        <is>
          <t>Spartanburg</t>
        </is>
      </c>
      <c r="B92" s="10" t="n">
        <v>46273</v>
      </c>
      <c r="C92" s="9" t="n"/>
      <c r="D92" s="11" t="inlineStr">
        <is>
          <t>2026-CP-42-01627</t>
        </is>
      </c>
      <c r="E92" s="11" t="inlineStr">
        <is>
          <t>scheduled</t>
        </is>
      </c>
      <c r="F92" s="9" t="inlineStr">
        <is>
          <t>102 Sparrow Ct, Boiling Springs, SC 29316</t>
        </is>
      </c>
      <c r="G92" s="11" t="inlineStr">
        <is>
          <t>2-44-00-067.01</t>
        </is>
      </c>
      <c r="H92" s="9" t="inlineStr">
        <is>
          <t>Wells Fargo Bank, National Association as Trustee for Structured Asset Securities Corporation, Mortgage Pass-Through Certificates, Series 2006-OPT1</t>
        </is>
      </c>
      <c r="I92" s="9" t="inlineStr">
        <is>
          <t>Choeun Chan a/k/a Cindy Chan; Nem Chan; Financial Trust, Inc.; 1st Franklin Financial Corporation</t>
        </is>
      </c>
      <c r="J92" s="11" t="inlineStr">
        <is>
          <t>demanded</t>
        </is>
      </c>
      <c r="K92" s="12" t="n"/>
      <c r="L92" s="10" t="n"/>
      <c r="M92" s="12" t="n"/>
      <c r="N92" s="11">
        <f>IF(OR(B92="",L92=""),"",MAX(0,B92-L92))</f>
        <v/>
      </c>
      <c r="O92" s="12">
        <f>IF(K92="","",K92+IF(OR(M92="",N92=""),0,M92*N92))</f>
        <v/>
      </c>
      <c r="P92" s="11" t="inlineStr"/>
      <c r="Q92" s="12" t="n"/>
      <c r="R92" s="13">
        <f>IF(OR(Q92="",Q92=0,O92=""),"",O92/Q92)</f>
        <v/>
      </c>
      <c r="S92" s="11" t="n"/>
      <c r="T92" s="11" t="n"/>
      <c r="U92" s="11" t="n"/>
      <c r="V92" s="11" t="n"/>
      <c r="W92" s="11" t="n"/>
      <c r="X92" s="11" t="inlineStr"/>
      <c r="Y92" s="11" t="n"/>
      <c r="Z92" s="14" t="inlineStr">
        <is>
          <t>open</t>
        </is>
      </c>
      <c r="AA92" s="11" t="n"/>
      <c r="AB92" s="11" t="n"/>
      <c r="AC92" s="9" t="inlineStr">
        <is>
          <t>102 Sparrow Ct, Boiling Springs, SC 29316. Judgment $ not pulled yet (needs the PC run). DEFICIENCY DEMANDED — open 30 days.</t>
        </is>
      </c>
    </row>
    <row r="93">
      <c r="A93" s="9" t="inlineStr">
        <is>
          <t>Spartanburg</t>
        </is>
      </c>
      <c r="B93" s="10" t="n">
        <v>46273</v>
      </c>
      <c r="C93" s="9" t="n"/>
      <c r="D93" s="11" t="inlineStr">
        <is>
          <t>2025-CP-42-04289</t>
        </is>
      </c>
      <c r="E93" s="11" t="inlineStr">
        <is>
          <t>scheduled</t>
        </is>
      </c>
      <c r="F93" s="9" t="inlineStr">
        <is>
          <t>251 Longmont Drive, Boiling Springs, SC 29316</t>
        </is>
      </c>
      <c r="G93" s="11" t="inlineStr">
        <is>
          <t>2-37-00-051.75</t>
        </is>
      </c>
      <c r="H93" s="9" t="inlineStr">
        <is>
          <t>Lakeview Loan Servicing, LLC</t>
        </is>
      </c>
      <c r="I93" s="9" t="inlineStr">
        <is>
          <t>Racquel Nicole Lynch a/k/a Racquel Lynch; The United States of America, acting by and through its Agency, The Secretary of Housing and Urban Development; Republic Finance, LLC; Rolands Crossing Homeowners Association, Inc.</t>
        </is>
      </c>
      <c r="J93" s="11" t="inlineStr">
        <is>
          <t>waived</t>
        </is>
      </c>
      <c r="K93" s="12" t="n"/>
      <c r="L93" s="10" t="n"/>
      <c r="M93" s="12" t="n"/>
      <c r="N93" s="11">
        <f>IF(OR(B93="",L93=""),"",MAX(0,B93-L93))</f>
        <v/>
      </c>
      <c r="O93" s="12">
        <f>IF(K93="","",K93+IF(OR(M93="",N93=""),0,M93*N93))</f>
        <v/>
      </c>
      <c r="P93" s="11" t="inlineStr"/>
      <c r="Q93" s="12" t="n"/>
      <c r="R93" s="13">
        <f>IF(OR(Q93="",Q93=0,O93=""),"",O93/Q93)</f>
        <v/>
      </c>
      <c r="S93" s="11" t="n"/>
      <c r="T93" s="11" t="n"/>
      <c r="U93" s="11" t="n"/>
      <c r="V93" s="11" t="n"/>
      <c r="W93" s="11" t="n"/>
      <c r="X93" s="11" t="inlineStr"/>
      <c r="Y93" s="11" t="n"/>
      <c r="Z93" s="14" t="inlineStr">
        <is>
          <t>open</t>
        </is>
      </c>
      <c r="AA93" s="11" t="n"/>
      <c r="AB93" s="11" t="n"/>
      <c r="AC93" s="9" t="inlineStr">
        <is>
          <t>251 Longmont Drive, Boiling Springs, SC 29316. Judgment $ not pulled yet (needs the PC run). Deficiency waived — final on the day. USA right of redemption applies (federal lien).</t>
        </is>
      </c>
    </row>
    <row r="94">
      <c r="A94" s="9" t="inlineStr">
        <is>
          <t>Spartanburg</t>
        </is>
      </c>
      <c r="B94" s="10" t="n">
        <v>46273</v>
      </c>
      <c r="C94" s="9" t="n"/>
      <c r="D94" s="11" t="inlineStr">
        <is>
          <t>2026-CP-42-00897</t>
        </is>
      </c>
      <c r="E94" s="11" t="inlineStr">
        <is>
          <t>scheduled</t>
        </is>
      </c>
      <c r="F94" s="9" t="inlineStr">
        <is>
          <t>111 Goodlett St, Pacolet, SC 29372</t>
        </is>
      </c>
      <c r="G94" s="11" t="inlineStr">
        <is>
          <t>3-30-01-054.00</t>
        </is>
      </c>
      <c r="H94" s="9" t="inlineStr">
        <is>
          <t>PennyMac Loan Services, LLC</t>
        </is>
      </c>
      <c r="I94" s="9" t="inlineStr">
        <is>
          <t>Jacob Shore</t>
        </is>
      </c>
      <c r="J94" s="11" t="inlineStr">
        <is>
          <t>waived</t>
        </is>
      </c>
      <c r="K94" s="12" t="n"/>
      <c r="L94" s="10" t="n"/>
      <c r="M94" s="12" t="n"/>
      <c r="N94" s="11">
        <f>IF(OR(B94="",L94=""),"",MAX(0,B94-L94))</f>
        <v/>
      </c>
      <c r="O94" s="12">
        <f>IF(K94="","",K94+IF(OR(M94="",N94=""),0,M94*N94))</f>
        <v/>
      </c>
      <c r="P94" s="11" t="inlineStr"/>
      <c r="Q94" s="12" t="n"/>
      <c r="R94" s="13">
        <f>IF(OR(Q94="",Q94=0,O94=""),"",O94/Q94)</f>
        <v/>
      </c>
      <c r="S94" s="11" t="n"/>
      <c r="T94" s="11" t="n"/>
      <c r="U94" s="11" t="n"/>
      <c r="V94" s="11" t="n"/>
      <c r="W94" s="11" t="n"/>
      <c r="X94" s="11" t="inlineStr"/>
      <c r="Y94" s="11" t="n"/>
      <c r="Z94" s="14" t="inlineStr">
        <is>
          <t>open</t>
        </is>
      </c>
      <c r="AA94" s="11" t="n"/>
      <c r="AB94" s="11" t="n"/>
      <c r="AC94" s="9" t="inlineStr">
        <is>
          <t>111 Goodlett St, Pacolet, SC 29372. Judgment $ not pulled yet (needs the PC run). Deficiency waived — final on the day.</t>
        </is>
      </c>
    </row>
    <row r="95">
      <c r="A95" s="9" t="inlineStr">
        <is>
          <t>Spartanburg</t>
        </is>
      </c>
      <c r="B95" s="10" t="n">
        <v>46273</v>
      </c>
      <c r="C95" s="9" t="n"/>
      <c r="D95" s="11" t="inlineStr">
        <is>
          <t>2026-CP-42-01739</t>
        </is>
      </c>
      <c r="E95" s="11" t="inlineStr">
        <is>
          <t>scheduled</t>
        </is>
      </c>
      <c r="F95" s="9" t="inlineStr">
        <is>
          <t>1032 Longstone Way, Spartanburg, SC 29306</t>
        </is>
      </c>
      <c r="G95" s="11" t="inlineStr">
        <is>
          <t>7-21-00-058.09</t>
        </is>
      </c>
      <c r="H95" s="9" t="inlineStr">
        <is>
          <t>Village Capital &amp; Investment LLC</t>
        </is>
      </c>
      <c r="I95" s="9" t="inlineStr">
        <is>
          <t>Franklin S. Porter; Sylvia E. Porter; Hawthorn Grove Homeowners' Association, Inc.; Mortgage Electronic Registration Systems, Inc., as mortgagee, as nominee for Guaranteed Rate, Inc.</t>
        </is>
      </c>
      <c r="J95" s="11" t="inlineStr">
        <is>
          <t>waived</t>
        </is>
      </c>
      <c r="K95" s="12" t="n"/>
      <c r="L95" s="10" t="n"/>
      <c r="M95" s="12" t="n"/>
      <c r="N95" s="11">
        <f>IF(OR(B95="",L95=""),"",MAX(0,B95-L95))</f>
        <v/>
      </c>
      <c r="O95" s="12">
        <f>IF(K95="","",K95+IF(OR(M95="",N95=""),0,M95*N95))</f>
        <v/>
      </c>
      <c r="P95" s="11" t="inlineStr"/>
      <c r="Q95" s="12" t="n"/>
      <c r="R95" s="13">
        <f>IF(OR(Q95="",Q95=0,O95=""),"",O95/Q95)</f>
        <v/>
      </c>
      <c r="S95" s="11" t="n"/>
      <c r="T95" s="11" t="n"/>
      <c r="U95" s="11" t="n"/>
      <c r="V95" s="11" t="n"/>
      <c r="W95" s="11" t="n"/>
      <c r="X95" s="11" t="inlineStr"/>
      <c r="Y95" s="11" t="n"/>
      <c r="Z95" s="14" t="inlineStr">
        <is>
          <t>open</t>
        </is>
      </c>
      <c r="AA95" s="11" t="n"/>
      <c r="AB95" s="11" t="n"/>
      <c r="AC95" s="9" t="inlineStr">
        <is>
          <t>1032 Longstone Way, Spartanburg, SC 29306. Judgment $ not pulled yet (needs the PC run). Deficiency waived — final on the day.</t>
        </is>
      </c>
    </row>
    <row r="96">
      <c r="A96" s="9" t="inlineStr">
        <is>
          <t>Spartanburg</t>
        </is>
      </c>
      <c r="B96" s="10" t="n">
        <v>46273</v>
      </c>
      <c r="C96" s="9" t="n"/>
      <c r="D96" s="11" t="inlineStr">
        <is>
          <t>2026-CP-42-01891</t>
        </is>
      </c>
      <c r="E96" s="11" t="inlineStr">
        <is>
          <t>scheduled</t>
        </is>
      </c>
      <c r="F96" s="9" t="inlineStr">
        <is>
          <t>4456 Duparc Way, Spartanburg, SC 29307</t>
        </is>
      </c>
      <c r="G96" s="11" t="inlineStr">
        <is>
          <t>7-05-00-201.19</t>
        </is>
      </c>
      <c r="H96" s="9" t="inlineStr">
        <is>
          <t>Freedom Mortgage Corporation</t>
        </is>
      </c>
      <c r="I96" s="9" t="inlineStr">
        <is>
          <t>Kaden Darrin Morrell; Amanda Maria Morrell; Berkeley Homeowners' Association, Inc.</t>
        </is>
      </c>
      <c r="J96" s="11" t="inlineStr">
        <is>
          <t>waived</t>
        </is>
      </c>
      <c r="K96" s="12" t="n"/>
      <c r="L96" s="10" t="n"/>
      <c r="M96" s="12" t="n"/>
      <c r="N96" s="11">
        <f>IF(OR(B96="",L96=""),"",MAX(0,B96-L96))</f>
        <v/>
      </c>
      <c r="O96" s="12">
        <f>IF(K96="","",K96+IF(OR(M96="",N96=""),0,M96*N96))</f>
        <v/>
      </c>
      <c r="P96" s="11" t="inlineStr"/>
      <c r="Q96" s="12" t="n"/>
      <c r="R96" s="13">
        <f>IF(OR(Q96="",Q96=0,O96=""),"",O96/Q96)</f>
        <v/>
      </c>
      <c r="S96" s="11" t="n"/>
      <c r="T96" s="11" t="n"/>
      <c r="U96" s="11" t="n"/>
      <c r="V96" s="11" t="n"/>
      <c r="W96" s="11" t="n"/>
      <c r="X96" s="11" t="inlineStr"/>
      <c r="Y96" s="11" t="n"/>
      <c r="Z96" s="14" t="inlineStr">
        <is>
          <t>open</t>
        </is>
      </c>
      <c r="AA96" s="11" t="n"/>
      <c r="AB96" s="11" t="n"/>
      <c r="AC96" s="9" t="inlineStr">
        <is>
          <t>4456 Duparc Way, Spartanburg, SC 29307. Judgment $ not pulled yet (needs the PC run). Deficiency waived — final on the day.</t>
        </is>
      </c>
    </row>
    <row r="97">
      <c r="A97" s="9" t="inlineStr">
        <is>
          <t>Spartanburg</t>
        </is>
      </c>
      <c r="B97" s="10" t="n">
        <v>46273</v>
      </c>
      <c r="C97" s="9" t="n"/>
      <c r="D97" s="11" t="inlineStr">
        <is>
          <t>2026-CP-42-00714</t>
        </is>
      </c>
      <c r="E97" s="11" t="inlineStr">
        <is>
          <t>scheduled</t>
        </is>
      </c>
      <c r="F97" s="9" t="inlineStr">
        <is>
          <t>686 California Avenue, Spartanburg, SC 29303</t>
        </is>
      </c>
      <c r="G97" s="11" t="inlineStr">
        <is>
          <t>6-13-08-155.00</t>
        </is>
      </c>
      <c r="H97" s="9" t="inlineStr">
        <is>
          <t>Katline Realty Corp., LLC</t>
        </is>
      </c>
      <c r="I97" s="9" t="inlineStr">
        <is>
          <t>Malibu Real Estate Investments, LLC</t>
        </is>
      </c>
      <c r="J97" s="11" t="inlineStr">
        <is>
          <t>conflicting</t>
        </is>
      </c>
      <c r="K97" s="12" t="n"/>
      <c r="L97" s="10" t="n"/>
      <c r="M97" s="12" t="n"/>
      <c r="N97" s="11">
        <f>IF(OR(B97="",L97=""),"",MAX(0,B97-L97))</f>
        <v/>
      </c>
      <c r="O97" s="12">
        <f>IF(K97="","",K97+IF(OR(M97="",N97=""),0,M97*N97))</f>
        <v/>
      </c>
      <c r="P97" s="11" t="inlineStr">
        <is>
          <t>0%</t>
        </is>
      </c>
      <c r="Q97" s="12" t="n"/>
      <c r="R97" s="13">
        <f>IF(OR(Q97="",Q97=0,O97=""),"",O97/Q97)</f>
        <v/>
      </c>
      <c r="S97" s="11" t="n"/>
      <c r="T97" s="11" t="n"/>
      <c r="U97" s="11" t="n"/>
      <c r="V97" s="11" t="n"/>
      <c r="W97" s="11" t="n"/>
      <c r="X97" s="11" t="inlineStr"/>
      <c r="Y97" s="11" t="n"/>
      <c r="Z97" s="14" t="inlineStr">
        <is>
          <t>open</t>
        </is>
      </c>
      <c r="AA97" s="11" t="n"/>
      <c r="AB97" s="11" t="n"/>
      <c r="AC97" s="9" t="inlineStr">
        <is>
          <t>686 California Avenue, Spartanburg, SC 29303. Judgment $ not pulled yet (needs the PC run). DEFICIENCY LANGUAGE CONFLICTS in the notice (says both waived and open 30 days) — ask plaintiff's counsel: W: No personal or deficiency judgment being demanded, the bidding will not remain open after the date of sale, but compliance with the bid must be made immediately. | D: DEFICIENCY JUDGMENT IS PRESERVED AND THE BID WILL REMAIN OPEN FOR THIRTY DAYS. Interest on bid 0% until compliance; 5% deposit day of sale.</t>
        </is>
      </c>
    </row>
    <row r="98">
      <c r="A98" s="9" t="inlineStr">
        <is>
          <t>Spartanburg</t>
        </is>
      </c>
      <c r="B98" s="10" t="n">
        <v>46273</v>
      </c>
      <c r="C98" s="9" t="n"/>
      <c r="D98" s="11" t="inlineStr">
        <is>
          <t>2026-CP-42-01014</t>
        </is>
      </c>
      <c r="E98" s="11" t="inlineStr">
        <is>
          <t>scheduled</t>
        </is>
      </c>
      <c r="F98" s="9" t="inlineStr">
        <is>
          <t>143 Woodhaven Drive, Spartanburg, SC 29307</t>
        </is>
      </c>
      <c r="G98" s="11" t="inlineStr">
        <is>
          <t>7-10-02-040.00</t>
        </is>
      </c>
      <c r="H98" s="9" t="inlineStr">
        <is>
          <t>Pinnacle Bank d/b/a Synovus Bank</t>
        </is>
      </c>
      <c r="I98" s="9" t="inlineStr">
        <is>
          <t>Lasundra Danielle Williams; and Service Finance Company, LLC</t>
        </is>
      </c>
      <c r="J98" s="11" t="inlineStr">
        <is>
          <t>demanded</t>
        </is>
      </c>
      <c r="K98" s="12" t="n"/>
      <c r="L98" s="10" t="n"/>
      <c r="M98" s="12" t="n"/>
      <c r="N98" s="11">
        <f>IF(OR(B98="",L98=""),"",MAX(0,B98-L98))</f>
        <v/>
      </c>
      <c r="O98" s="12">
        <f>IF(K98="","",K98+IF(OR(M98="",N98=""),0,M98*N98))</f>
        <v/>
      </c>
      <c r="P98" s="11" t="inlineStr"/>
      <c r="Q98" s="12" t="n"/>
      <c r="R98" s="13">
        <f>IF(OR(Q98="",Q98=0,O98=""),"",O98/Q98)</f>
        <v/>
      </c>
      <c r="S98" s="11" t="n"/>
      <c r="T98" s="11" t="n"/>
      <c r="U98" s="11" t="n"/>
      <c r="V98" s="11" t="n"/>
      <c r="W98" s="11" t="n"/>
      <c r="X98" s="11" t="inlineStr"/>
      <c r="Y98" s="11" t="n"/>
      <c r="Z98" s="14" t="inlineStr">
        <is>
          <t>open</t>
        </is>
      </c>
      <c r="AA98" s="11" t="n"/>
      <c r="AB98" s="11" t="n"/>
      <c r="AC98" s="9" t="inlineStr">
        <is>
          <t>143 Woodhaven Drive, Spartanburg, SC 29307. Judgment $ not pulled yet (needs the PC run). DEFICIENCY DEMANDED — open 30 days.</t>
        </is>
      </c>
    </row>
    <row r="99">
      <c r="A99" s="9" t="inlineStr">
        <is>
          <t>Spartanburg</t>
        </is>
      </c>
      <c r="B99" s="10" t="n">
        <v>46273</v>
      </c>
      <c r="C99" s="9" t="n"/>
      <c r="D99" s="11" t="inlineStr">
        <is>
          <t>2025-CP-42-02677</t>
        </is>
      </c>
      <c r="E99" s="11" t="inlineStr">
        <is>
          <t>scheduled</t>
        </is>
      </c>
      <c r="F99" s="9" t="inlineStr">
        <is>
          <t>324 Courson Court Boiling Springs, South Carolina 29316</t>
        </is>
      </c>
      <c r="G99" s="11" t="inlineStr">
        <is>
          <t>2-45-06-014.00</t>
        </is>
      </c>
      <c r="H99" s="9" t="inlineStr">
        <is>
          <t>South Carolina State Housing Finance and Development Authority</t>
        </is>
      </c>
      <c r="I99" s="9" t="inlineStr">
        <is>
          <t>Natalie McKelvin et al</t>
        </is>
      </c>
      <c r="J99" s="11" t="inlineStr">
        <is>
          <t>waived</t>
        </is>
      </c>
      <c r="K99" s="12" t="n"/>
      <c r="L99" s="10" t="n"/>
      <c r="M99" s="12" t="n"/>
      <c r="N99" s="11">
        <f>IF(OR(B99="",L99=""),"",MAX(0,B99-L99))</f>
        <v/>
      </c>
      <c r="O99" s="12">
        <f>IF(K99="","",K99+IF(OR(M99="",N99=""),0,M99*N99))</f>
        <v/>
      </c>
      <c r="P99" s="11" t="inlineStr"/>
      <c r="Q99" s="12" t="n"/>
      <c r="R99" s="13">
        <f>IF(OR(Q99="",Q99=0,O99=""),"",O99/Q99)</f>
        <v/>
      </c>
      <c r="S99" s="11" t="n"/>
      <c r="T99" s="11" t="n"/>
      <c r="U99" s="11" t="n"/>
      <c r="V99" s="11" t="n"/>
      <c r="W99" s="11" t="n"/>
      <c r="X99" s="11" t="inlineStr"/>
      <c r="Y99" s="11" t="n"/>
      <c r="Z99" s="14" t="inlineStr">
        <is>
          <t>open</t>
        </is>
      </c>
      <c r="AA99" s="11" t="n"/>
      <c r="AB99" s="11" t="n"/>
      <c r="AC99" s="9" t="inlineStr">
        <is>
          <t>324 Courson Court Boiling Springs, South Carolina 29316. Judgment $ not pulled yet (needs the PC run). Deficiency waived — final on the day.</t>
        </is>
      </c>
    </row>
    <row r="100">
      <c r="A100" s="9" t="inlineStr">
        <is>
          <t>Spartanburg</t>
        </is>
      </c>
      <c r="B100" s="10" t="n">
        <v>46273</v>
      </c>
      <c r="C100" s="9" t="n"/>
      <c r="D100" s="11" t="inlineStr">
        <is>
          <t>2025-CP-42-03885</t>
        </is>
      </c>
      <c r="E100" s="11" t="inlineStr">
        <is>
          <t>scheduled</t>
        </is>
      </c>
      <c r="F100" s="9" t="inlineStr">
        <is>
          <t>179 Briarcliff Road, Spartanburg, SC 29301</t>
        </is>
      </c>
      <c r="G100" s="11" t="inlineStr">
        <is>
          <t>7-15-08-100.00</t>
        </is>
      </c>
      <c r="H100" s="9" t="inlineStr">
        <is>
          <t>Planet Home Lending, LLC</t>
        </is>
      </c>
      <c r="I100" s="9" t="inlineStr">
        <is>
          <t>Jakira Bogan a/k/a Jakira A. Bogan; Correy T. Bogan; Derrick B. Bogan a/k/a Derrick Bernard Bogan; et.al.</t>
        </is>
      </c>
      <c r="J100" s="11" t="inlineStr">
        <is>
          <t>demanded</t>
        </is>
      </c>
      <c r="K100" s="12" t="n"/>
      <c r="L100" s="10" t="n"/>
      <c r="M100" s="12" t="n"/>
      <c r="N100" s="11">
        <f>IF(OR(B100="",L100=""),"",MAX(0,B100-L100))</f>
        <v/>
      </c>
      <c r="O100" s="12">
        <f>IF(K100="","",K100+IF(OR(M100="",N100=""),0,M100*N100))</f>
        <v/>
      </c>
      <c r="P100" s="11" t="inlineStr"/>
      <c r="Q100" s="12" t="n"/>
      <c r="R100" s="13">
        <f>IF(OR(Q100="",Q100=0,O100=""),"",O100/Q100)</f>
        <v/>
      </c>
      <c r="S100" s="11" t="n"/>
      <c r="T100" s="11" t="n"/>
      <c r="U100" s="11" t="n"/>
      <c r="V100" s="11" t="n"/>
      <c r="W100" s="11" t="n"/>
      <c r="X100" s="11" t="inlineStr"/>
      <c r="Y100" s="11" t="n"/>
      <c r="Z100" s="14" t="inlineStr">
        <is>
          <t>open</t>
        </is>
      </c>
      <c r="AA100" s="11" t="n"/>
      <c r="AB100" s="11" t="n"/>
      <c r="AC100" s="9" t="inlineStr">
        <is>
          <t>179 Briarcliff Road, Spartanburg, SC 29301. Judgment $ not pulled yet (needs the PC run). DEFICIENCY DEMANDED — open 30 days.</t>
        </is>
      </c>
    </row>
    <row r="101">
      <c r="A101" s="9" t="inlineStr">
        <is>
          <t>Spartanburg</t>
        </is>
      </c>
      <c r="B101" s="10" t="n">
        <v>46273</v>
      </c>
      <c r="C101" s="9" t="n"/>
      <c r="D101" s="11" t="inlineStr">
        <is>
          <t>2025-CP-42-05868</t>
        </is>
      </c>
      <c r="E101" s="11" t="inlineStr">
        <is>
          <t>scheduled</t>
        </is>
      </c>
      <c r="F101" s="9" t="inlineStr">
        <is>
          <t>111 Whitener Avenue, Spartanburg, SC 29306</t>
        </is>
      </c>
      <c r="G101" s="11" t="inlineStr">
        <is>
          <t>7-16-12-031.00</t>
        </is>
      </c>
      <c r="H101" s="9" t="inlineStr">
        <is>
          <t>U.S. Bank Trust National Association, not in its individual capacity but solely as owner trustee for Legacy Mortgage Asset Trust 2024-INV1</t>
        </is>
      </c>
      <c r="I101" s="9" t="inlineStr">
        <is>
          <t>HGMCV1 LLC</t>
        </is>
      </c>
      <c r="J101" s="11" t="inlineStr">
        <is>
          <t>demanded</t>
        </is>
      </c>
      <c r="K101" s="12" t="n"/>
      <c r="L101" s="10" t="n"/>
      <c r="M101" s="12" t="n"/>
      <c r="N101" s="11">
        <f>IF(OR(B101="",L101=""),"",MAX(0,B101-L101))</f>
        <v/>
      </c>
      <c r="O101" s="12">
        <f>IF(K101="","",K101+IF(OR(M101="",N101=""),0,M101*N101))</f>
        <v/>
      </c>
      <c r="P101" s="11" t="inlineStr"/>
      <c r="Q101" s="12" t="n"/>
      <c r="R101" s="13">
        <f>IF(OR(Q101="",Q101=0,O101=""),"",O101/Q101)</f>
        <v/>
      </c>
      <c r="S101" s="11" t="n"/>
      <c r="T101" s="11" t="n"/>
      <c r="U101" s="11" t="n"/>
      <c r="V101" s="11" t="n"/>
      <c r="W101" s="11" t="n"/>
      <c r="X101" s="11" t="inlineStr"/>
      <c r="Y101" s="11" t="n"/>
      <c r="Z101" s="14" t="inlineStr">
        <is>
          <t>open</t>
        </is>
      </c>
      <c r="AA101" s="11" t="n"/>
      <c r="AB101" s="11" t="n"/>
      <c r="AC101" s="9" t="inlineStr">
        <is>
          <t>111 Whitener Avenue, Spartanburg, SC 29306. Judgment $ not pulled yet (needs the PC run). DEFICIENCY DEMANDED — open 30 days.</t>
        </is>
      </c>
    </row>
    <row r="102">
      <c r="A102" s="9" t="inlineStr">
        <is>
          <t>Spartanburg</t>
        </is>
      </c>
      <c r="B102" s="10" t="n">
        <v>46273</v>
      </c>
      <c r="C102" s="9" t="n"/>
      <c r="D102" s="11" t="inlineStr">
        <is>
          <t>2025-CP-42-00105</t>
        </is>
      </c>
      <c r="E102" s="11" t="inlineStr">
        <is>
          <t>scheduled</t>
        </is>
      </c>
      <c r="F102" s="9" t="inlineStr">
        <is>
          <t>116 Carolyn Drive, Spartanburg, SC 29306</t>
        </is>
      </c>
      <c r="G102" s="11" t="inlineStr">
        <is>
          <t>7-16-12-026.00</t>
        </is>
      </c>
      <c r="H102" s="9" t="inlineStr">
        <is>
          <t>U.S. Bank Trust National Association, not in its individual capacity but solely as owner trustee for GS Mortgage-Backed Securities Trust 2022-RPL2</t>
        </is>
      </c>
      <c r="I102" s="9" t="inlineStr">
        <is>
          <t>Theresa Jackson Miller a/k/a Theresa Miller, as Heir or Devisee of the Estate of James Roosevelt Jackson a/k/a James R. Jackson a/k/a James Jackson, Deceased; Doris Davis, as Heir or Devisee of the Estate of James Roosevelt Jackson a/k/a James R. Jackson a/k/a James Jackson, Deceased; et.al.</t>
        </is>
      </c>
      <c r="J102" s="11" t="inlineStr">
        <is>
          <t>waived</t>
        </is>
      </c>
      <c r="K102" s="12" t="n"/>
      <c r="L102" s="10" t="n"/>
      <c r="M102" s="12" t="n"/>
      <c r="N102" s="11">
        <f>IF(OR(B102="",L102=""),"",MAX(0,B102-L102))</f>
        <v/>
      </c>
      <c r="O102" s="12">
        <f>IF(K102="","",K102+IF(OR(M102="",N102=""),0,M102*N102))</f>
        <v/>
      </c>
      <c r="P102" s="11" t="inlineStr"/>
      <c r="Q102" s="12" t="n"/>
      <c r="R102" s="13">
        <f>IF(OR(Q102="",Q102=0,O102=""),"",O102/Q102)</f>
        <v/>
      </c>
      <c r="S102" s="11" t="n"/>
      <c r="T102" s="11" t="n"/>
      <c r="U102" s="11" t="n"/>
      <c r="V102" s="11" t="n"/>
      <c r="W102" s="11" t="n"/>
      <c r="X102" s="11" t="inlineStr"/>
      <c r="Y102" s="11" t="n"/>
      <c r="Z102" s="14" t="inlineStr">
        <is>
          <t>open</t>
        </is>
      </c>
      <c r="AA102" s="11" t="n"/>
      <c r="AB102" s="11" t="n"/>
      <c r="AC102" s="9" t="inlineStr">
        <is>
          <t>116 Carolyn Drive, Spartanburg, SC 29306. Judgment $ not pulled yet (needs the PC run). Deficiency waived — final on the day.</t>
        </is>
      </c>
    </row>
    <row r="103">
      <c r="A103" s="9" t="inlineStr">
        <is>
          <t>Spartanburg</t>
        </is>
      </c>
      <c r="B103" s="10" t="n">
        <v>46273</v>
      </c>
      <c r="C103" s="9" t="n"/>
      <c r="D103" s="11" t="inlineStr">
        <is>
          <t>2026-CP-42-00672</t>
        </is>
      </c>
      <c r="E103" s="11" t="inlineStr">
        <is>
          <t>scheduled</t>
        </is>
      </c>
      <c r="F103" s="9" t="inlineStr">
        <is>
          <t>112 Mt Lebanon Road, Pauline, SC 29374</t>
        </is>
      </c>
      <c r="G103" s="11" t="inlineStr">
        <is>
          <t>6-63-00-005.07</t>
        </is>
      </c>
      <c r="H103" s="9" t="inlineStr">
        <is>
          <t>JPMorgan Chase Bank, National Association</t>
        </is>
      </c>
      <c r="I103" s="9" t="inlineStr">
        <is>
          <t>Linda Lawter; and Susan Lawter</t>
        </is>
      </c>
      <c r="J103" s="11" t="inlineStr">
        <is>
          <t>waived</t>
        </is>
      </c>
      <c r="K103" s="12" t="n"/>
      <c r="L103" s="10" t="n"/>
      <c r="M103" s="12" t="n"/>
      <c r="N103" s="11">
        <f>IF(OR(B103="",L103=""),"",MAX(0,B103-L103))</f>
        <v/>
      </c>
      <c r="O103" s="12">
        <f>IF(K103="","",K103+IF(OR(M103="",N103=""),0,M103*N103))</f>
        <v/>
      </c>
      <c r="P103" s="11" t="inlineStr"/>
      <c r="Q103" s="12" t="n"/>
      <c r="R103" s="13">
        <f>IF(OR(Q103="",Q103=0,O103=""),"",O103/Q103)</f>
        <v/>
      </c>
      <c r="S103" s="11" t="n"/>
      <c r="T103" s="11" t="n"/>
      <c r="U103" s="11" t="n"/>
      <c r="V103" s="11" t="n"/>
      <c r="W103" s="11" t="n"/>
      <c r="X103" s="11" t="inlineStr"/>
      <c r="Y103" s="11" t="n"/>
      <c r="Z103" s="14" t="inlineStr">
        <is>
          <t>open</t>
        </is>
      </c>
      <c r="AA103" s="11" t="n"/>
      <c r="AB103" s="11" t="n"/>
      <c r="AC103" s="9" t="inlineStr">
        <is>
          <t>112 Mt Lebanon Road, Pauline, SC 29374. Judgment $ not pulled yet (needs the PC run). Deficiency waived — final on the day.</t>
        </is>
      </c>
    </row>
    <row r="104">
      <c r="A104" s="9" t="inlineStr">
        <is>
          <t>Spartanburg</t>
        </is>
      </c>
      <c r="B104" s="10" t="n">
        <v>46273</v>
      </c>
      <c r="C104" s="9" t="n"/>
      <c r="D104" s="11" t="inlineStr">
        <is>
          <t>2026-CP-42-01993</t>
        </is>
      </c>
      <c r="E104" s="11" t="inlineStr">
        <is>
          <t>scheduled</t>
        </is>
      </c>
      <c r="F104" s="9" t="inlineStr">
        <is>
          <t>229 Cherokee Circle, Spartanburg, SC 29307</t>
        </is>
      </c>
      <c r="G104" s="11" t="inlineStr">
        <is>
          <t>2-46-00-003.00</t>
        </is>
      </c>
      <c r="H104" s="9" t="inlineStr">
        <is>
          <t>U.S. Bank Trust National Association, not in its individual capacity but solely as owner trustee for Legacy Mortgage Asset Trust 2021-GS2</t>
        </is>
      </c>
      <c r="I104" s="9" t="inlineStr">
        <is>
          <t>Helen Louise Long a/k/a Helen L. Long; Johnny Thomas Long; Michael Alan Long a/k/a Michael Long, and if he be deceased, et.al.</t>
        </is>
      </c>
      <c r="J104" s="11" t="inlineStr">
        <is>
          <t>waived</t>
        </is>
      </c>
      <c r="K104" s="12" t="n"/>
      <c r="L104" s="10" t="n"/>
      <c r="M104" s="12" t="n"/>
      <c r="N104" s="11">
        <f>IF(OR(B104="",L104=""),"",MAX(0,B104-L104))</f>
        <v/>
      </c>
      <c r="O104" s="12">
        <f>IF(K104="","",K104+IF(OR(M104="",N104=""),0,M104*N104))</f>
        <v/>
      </c>
      <c r="P104" s="11" t="inlineStr"/>
      <c r="Q104" s="12" t="n"/>
      <c r="R104" s="13">
        <f>IF(OR(Q104="",Q104=0,O104=""),"",O104/Q104)</f>
        <v/>
      </c>
      <c r="S104" s="11" t="n"/>
      <c r="T104" s="11" t="n"/>
      <c r="U104" s="11" t="n"/>
      <c r="V104" s="11" t="n"/>
      <c r="W104" s="11" t="n"/>
      <c r="X104" s="11" t="inlineStr"/>
      <c r="Y104" s="11" t="n"/>
      <c r="Z104" s="14" t="inlineStr">
        <is>
          <t>open</t>
        </is>
      </c>
      <c r="AA104" s="11" t="n"/>
      <c r="AB104" s="11" t="n"/>
      <c r="AC104" s="9" t="inlineStr">
        <is>
          <t>229 Cherokee Circle, Spartanburg, SC 29307. Judgment $ not pulled yet (needs the PC run). Deficiency waived — final on the day.</t>
        </is>
      </c>
    </row>
    <row r="105">
      <c r="A105" s="9" t="inlineStr">
        <is>
          <t>Spartanburg</t>
        </is>
      </c>
      <c r="B105" s="10" t="n">
        <v>46273</v>
      </c>
      <c r="C105" s="9" t="n"/>
      <c r="D105" s="11" t="inlineStr">
        <is>
          <t>2018-CP-42-02911</t>
        </is>
      </c>
      <c r="E105" s="11" t="inlineStr">
        <is>
          <t>scheduled</t>
        </is>
      </c>
      <c r="F105" s="9" t="inlineStr">
        <is>
          <t>225 Rexford Drive, Moore, SC 29369</t>
        </is>
      </c>
      <c r="G105" s="11" t="inlineStr">
        <is>
          <t>5-32-00-528.00</t>
        </is>
      </c>
      <c r="H105" s="9" t="inlineStr">
        <is>
          <t>FirstBank</t>
        </is>
      </c>
      <c r="I105" s="9" t="inlineStr">
        <is>
          <t>Terri Rookard; et.al.</t>
        </is>
      </c>
      <c r="J105" s="11" t="inlineStr">
        <is>
          <t>waived</t>
        </is>
      </c>
      <c r="K105" s="12" t="n"/>
      <c r="L105" s="10" t="n"/>
      <c r="M105" s="12" t="n"/>
      <c r="N105" s="11">
        <f>IF(OR(B105="",L105=""),"",MAX(0,B105-L105))</f>
        <v/>
      </c>
      <c r="O105" s="12">
        <f>IF(K105="","",K105+IF(OR(M105="",N105=""),0,M105*N105))</f>
        <v/>
      </c>
      <c r="P105" s="11" t="inlineStr"/>
      <c r="Q105" s="12" t="n"/>
      <c r="R105" s="13">
        <f>IF(OR(Q105="",Q105=0,O105=""),"",O105/Q105)</f>
        <v/>
      </c>
      <c r="S105" s="11" t="n"/>
      <c r="T105" s="11" t="n"/>
      <c r="U105" s="11" t="n"/>
      <c r="V105" s="11" t="n"/>
      <c r="W105" s="11" t="n"/>
      <c r="X105" s="11" t="inlineStr"/>
      <c r="Y105" s="11" t="n"/>
      <c r="Z105" s="14" t="inlineStr">
        <is>
          <t>open</t>
        </is>
      </c>
      <c r="AA105" s="11" t="n"/>
      <c r="AB105" s="11" t="n"/>
      <c r="AC105" s="9" t="inlineStr">
        <is>
          <t>225 Rexford Drive, Moore, SC 29369. Judgment $ not pulled yet (needs the PC run). Deficiency waived — final on the day.</t>
        </is>
      </c>
    </row>
    <row r="106">
      <c r="A106" s="9" t="inlineStr">
        <is>
          <t>Spartanburg</t>
        </is>
      </c>
      <c r="B106" s="10" t="n">
        <v>46273</v>
      </c>
      <c r="C106" s="9" t="n"/>
      <c r="D106" s="11" t="inlineStr">
        <is>
          <t>2025-CP-42-06354</t>
        </is>
      </c>
      <c r="E106" s="11" t="inlineStr">
        <is>
          <t>scheduled</t>
        </is>
      </c>
      <c r="F106" s="9" t="inlineStr">
        <is>
          <t>135 Knollwood Drive, Spartanburg, SC 29301</t>
        </is>
      </c>
      <c r="G106" s="11" t="inlineStr">
        <is>
          <t>6-21-13-099.00</t>
        </is>
      </c>
      <c r="H106" s="9" t="inlineStr">
        <is>
          <t>NewRez LLC d/b/a Shellpoint Mortgage Servicing</t>
        </is>
      </c>
      <c r="I106" s="9" t="inlineStr">
        <is>
          <t>Ta'Jio D. Reeves</t>
        </is>
      </c>
      <c r="J106" s="11" t="inlineStr">
        <is>
          <t>waived</t>
        </is>
      </c>
      <c r="K106" s="12" t="n"/>
      <c r="L106" s="10" t="n"/>
      <c r="M106" s="12" t="n"/>
      <c r="N106" s="11">
        <f>IF(OR(B106="",L106=""),"",MAX(0,B106-L106))</f>
        <v/>
      </c>
      <c r="O106" s="12">
        <f>IF(K106="","",K106+IF(OR(M106="",N106=""),0,M106*N106))</f>
        <v/>
      </c>
      <c r="P106" s="11" t="inlineStr"/>
      <c r="Q106" s="12" t="n"/>
      <c r="R106" s="13">
        <f>IF(OR(Q106="",Q106=0,O106=""),"",O106/Q106)</f>
        <v/>
      </c>
      <c r="S106" s="11" t="n"/>
      <c r="T106" s="11" t="n"/>
      <c r="U106" s="11" t="n"/>
      <c r="V106" s="11" t="n"/>
      <c r="W106" s="11" t="n"/>
      <c r="X106" s="11" t="inlineStr"/>
      <c r="Y106" s="11" t="n"/>
      <c r="Z106" s="14" t="inlineStr">
        <is>
          <t>open</t>
        </is>
      </c>
      <c r="AA106" s="11" t="n"/>
      <c r="AB106" s="11" t="n"/>
      <c r="AC106" s="9" t="inlineStr">
        <is>
          <t>135 Knollwood Drive, Spartanburg, SC 29301. Judgment $ not pulled yet (needs the PC run). Deficiency waived — final on the day.</t>
        </is>
      </c>
    </row>
    <row r="107">
      <c r="A107" s="9" t="inlineStr">
        <is>
          <t>Spartanburg</t>
        </is>
      </c>
      <c r="B107" s="10" t="n">
        <v>46273</v>
      </c>
      <c r="C107" s="9" t="n"/>
      <c r="D107" s="11" t="inlineStr">
        <is>
          <t>2026-CP-42-01840</t>
        </is>
      </c>
      <c r="E107" s="11" t="inlineStr">
        <is>
          <t>scheduled</t>
        </is>
      </c>
      <c r="F107" s="9" t="inlineStr">
        <is>
          <t>481 Hammett Store Road, Lyman, SC  29365</t>
        </is>
      </c>
      <c r="G107" s="11" t="inlineStr">
        <is>
          <t>5-10-00-004.21</t>
        </is>
      </c>
      <c r="H107" s="9" t="inlineStr">
        <is>
          <t>Vanderbilt Mortgage and Finance, Inc.</t>
        </is>
      </c>
      <c r="I107" s="9" t="inlineStr">
        <is>
          <t>Reginald Leon Fouse and Samantha Marie Whitten</t>
        </is>
      </c>
      <c r="J107" s="11" t="inlineStr">
        <is>
          <t>waived</t>
        </is>
      </c>
      <c r="K107" s="12" t="n"/>
      <c r="L107" s="10" t="n"/>
      <c r="M107" s="12" t="n"/>
      <c r="N107" s="11">
        <f>IF(OR(B107="",L107=""),"",MAX(0,B107-L107))</f>
        <v/>
      </c>
      <c r="O107" s="12">
        <f>IF(K107="","",K107+IF(OR(M107="",N107=""),0,M107*N107))</f>
        <v/>
      </c>
      <c r="P107" s="11" t="inlineStr"/>
      <c r="Q107" s="12" t="n"/>
      <c r="R107" s="13">
        <f>IF(OR(Q107="",Q107=0,O107=""),"",O107/Q107)</f>
        <v/>
      </c>
      <c r="S107" s="11" t="n"/>
      <c r="T107" s="11" t="n"/>
      <c r="U107" s="11" t="n"/>
      <c r="V107" s="11" t="n"/>
      <c r="W107" s="11" t="n"/>
      <c r="X107" s="11" t="inlineStr"/>
      <c r="Y107" s="11" t="n"/>
      <c r="Z107" s="14" t="inlineStr">
        <is>
          <t>open</t>
        </is>
      </c>
      <c r="AA107" s="11" t="n"/>
      <c r="AB107" s="11" t="n"/>
      <c r="AC107" s="9" t="inlineStr">
        <is>
          <t>481 Hammett Store Road, Lyman, SC  29365. Judgment $ not pulled yet (needs the PC run). Deficiency waived — final on the day.</t>
        </is>
      </c>
    </row>
    <row r="108">
      <c r="A108" s="9" t="inlineStr">
        <is>
          <t>Spartanburg</t>
        </is>
      </c>
      <c r="B108" s="10" t="n">
        <v>46273</v>
      </c>
      <c r="C108" s="9" t="n"/>
      <c r="D108" s="11" t="inlineStr">
        <is>
          <t>2025-CP-42-03868</t>
        </is>
      </c>
      <c r="E108" s="11" t="inlineStr">
        <is>
          <t>scheduled</t>
        </is>
      </c>
      <c r="F108" s="9" t="inlineStr">
        <is>
          <t>157 Carver Street, Wellford, SC 29385</t>
        </is>
      </c>
      <c r="G108" s="11" t="inlineStr"/>
      <c r="H108" s="9" t="inlineStr">
        <is>
          <t>Federal Home Loan Mortgage Corporation as Trustee for Freddie Mac Seasoned Credit Risk Transfer Trust, Series 2018-2</t>
        </is>
      </c>
      <c r="I108" s="9" t="inlineStr">
        <is>
          <t>John E. Moore, Jr.; et al.</t>
        </is>
      </c>
      <c r="J108" s="11" t="inlineStr">
        <is>
          <t>waived</t>
        </is>
      </c>
      <c r="K108" s="12" t="n"/>
      <c r="L108" s="10" t="n"/>
      <c r="M108" s="12" t="n"/>
      <c r="N108" s="11">
        <f>IF(OR(B108="",L108=""),"",MAX(0,B108-L108))</f>
        <v/>
      </c>
      <c r="O108" s="12">
        <f>IF(K108="","",K108+IF(OR(M108="",N108=""),0,M108*N108))</f>
        <v/>
      </c>
      <c r="P108" s="11" t="inlineStr"/>
      <c r="Q108" s="12" t="n"/>
      <c r="R108" s="13">
        <f>IF(OR(Q108="",Q108=0,O108=""),"",O108/Q108)</f>
        <v/>
      </c>
      <c r="S108" s="11" t="n"/>
      <c r="T108" s="11" t="n"/>
      <c r="U108" s="11" t="n"/>
      <c r="V108" s="11" t="n"/>
      <c r="W108" s="11" t="n"/>
      <c r="X108" s="11" t="inlineStr"/>
      <c r="Y108" s="11" t="n"/>
      <c r="Z108" s="14" t="inlineStr">
        <is>
          <t>open</t>
        </is>
      </c>
      <c r="AA108" s="11" t="n"/>
      <c r="AB108" s="11" t="n"/>
      <c r="AC108" s="9" t="inlineStr">
        <is>
          <t>157 Carver Street, Wellford, SC 29385. Judgment $ not pulled yet (needs the PC run). Deficiency waived — final on the day.</t>
        </is>
      </c>
    </row>
    <row r="109">
      <c r="A109" s="9" t="inlineStr">
        <is>
          <t>Spartanburg</t>
        </is>
      </c>
      <c r="B109" s="10" t="n">
        <v>46273</v>
      </c>
      <c r="C109" s="9" t="n"/>
      <c r="D109" s="11" t="inlineStr">
        <is>
          <t>2025-CP-42-05133</t>
        </is>
      </c>
      <c r="E109" s="11" t="inlineStr">
        <is>
          <t>scheduled</t>
        </is>
      </c>
      <c r="F109" s="9" t="inlineStr">
        <is>
          <t>472 Sloan Street, Spartanburg, SC 29303</t>
        </is>
      </c>
      <c r="G109" s="11" t="inlineStr"/>
      <c r="H109" s="9" t="inlineStr">
        <is>
          <t>Lakeview Loan Servicing, LLC</t>
        </is>
      </c>
      <c r="I109" s="9" t="inlineStr">
        <is>
          <t>Eric Cortright; et al.</t>
        </is>
      </c>
      <c r="J109" s="11" t="inlineStr">
        <is>
          <t>waived</t>
        </is>
      </c>
      <c r="K109" s="12" t="n"/>
      <c r="L109" s="10" t="n"/>
      <c r="M109" s="12" t="n"/>
      <c r="N109" s="11">
        <f>IF(OR(B109="",L109=""),"",MAX(0,B109-L109))</f>
        <v/>
      </c>
      <c r="O109" s="12">
        <f>IF(K109="","",K109+IF(OR(M109="",N109=""),0,M109*N109))</f>
        <v/>
      </c>
      <c r="P109" s="11" t="inlineStr"/>
      <c r="Q109" s="12" t="n"/>
      <c r="R109" s="13">
        <f>IF(OR(Q109="",Q109=0,O109=""),"",O109/Q109)</f>
        <v/>
      </c>
      <c r="S109" s="11" t="n"/>
      <c r="T109" s="11" t="n"/>
      <c r="U109" s="11" t="n"/>
      <c r="V109" s="11" t="n"/>
      <c r="W109" s="11" t="n"/>
      <c r="X109" s="11" t="inlineStr"/>
      <c r="Y109" s="11" t="n"/>
      <c r="Z109" s="14" t="inlineStr">
        <is>
          <t>open</t>
        </is>
      </c>
      <c r="AA109" s="11" t="n"/>
      <c r="AB109" s="11" t="n"/>
      <c r="AC109" s="9" t="inlineStr">
        <is>
          <t>472 Sloan Street, Spartanburg, SC 29303. Judgment $ not pulled yet (needs the PC run). Deficiency waived — final on the day.</t>
        </is>
      </c>
    </row>
    <row r="110">
      <c r="A110" s="9" t="inlineStr">
        <is>
          <t>Spartanburg</t>
        </is>
      </c>
      <c r="B110" s="10" t="n">
        <v>46273</v>
      </c>
      <c r="C110" s="9" t="n"/>
      <c r="D110" s="11" t="inlineStr">
        <is>
          <t>2025-CP-42-04467</t>
        </is>
      </c>
      <c r="E110" s="11" t="inlineStr">
        <is>
          <t>scheduled</t>
        </is>
      </c>
      <c r="F110" s="9" t="inlineStr">
        <is>
          <t>729 Grace Valley Road, Inman, SC 29349</t>
        </is>
      </c>
      <c r="G110" s="11" t="inlineStr"/>
      <c r="H110" s="9" t="inlineStr">
        <is>
          <t>Carrington Mortgage Services, LLC</t>
        </is>
      </c>
      <c r="I110" s="9" t="inlineStr">
        <is>
          <t>Sabrina Sharpe, individually and as Personal Representative of the Estate of Simon Sharpe a/k/a Simon Scott Sharpe; et al.</t>
        </is>
      </c>
      <c r="J110" s="11" t="inlineStr">
        <is>
          <t>waived</t>
        </is>
      </c>
      <c r="K110" s="12" t="n"/>
      <c r="L110" s="10" t="n"/>
      <c r="M110" s="12" t="n"/>
      <c r="N110" s="11">
        <f>IF(OR(B110="",L110=""),"",MAX(0,B110-L110))</f>
        <v/>
      </c>
      <c r="O110" s="12">
        <f>IF(K110="","",K110+IF(OR(M110="",N110=""),0,M110*N110))</f>
        <v/>
      </c>
      <c r="P110" s="11" t="inlineStr"/>
      <c r="Q110" s="12" t="n"/>
      <c r="R110" s="13">
        <f>IF(OR(Q110="",Q110=0,O110=""),"",O110/Q110)</f>
        <v/>
      </c>
      <c r="S110" s="11" t="n"/>
      <c r="T110" s="11" t="n"/>
      <c r="U110" s="11" t="n"/>
      <c r="V110" s="11" t="n"/>
      <c r="W110" s="11" t="n"/>
      <c r="X110" s="11" t="inlineStr"/>
      <c r="Y110" s="11" t="n"/>
      <c r="Z110" s="14" t="inlineStr">
        <is>
          <t>open</t>
        </is>
      </c>
      <c r="AA110" s="11" t="n"/>
      <c r="AB110" s="11" t="n"/>
      <c r="AC110" s="9" t="inlineStr">
        <is>
          <t>729 Grace Valley Road, Inman, SC 29349. Judgment $ not pulled yet (needs the PC run). Deficiency waived — final on the day.</t>
        </is>
      </c>
    </row>
    <row r="111">
      <c r="A111" s="9" t="inlineStr">
        <is>
          <t>Spartanburg</t>
        </is>
      </c>
      <c r="B111" s="10" t="n">
        <v>46273</v>
      </c>
      <c r="C111" s="9" t="n"/>
      <c r="D111" s="11" t="inlineStr">
        <is>
          <t>2025-CP-42-06017</t>
        </is>
      </c>
      <c r="E111" s="11" t="inlineStr">
        <is>
          <t>scheduled</t>
        </is>
      </c>
      <c r="F111" s="9" t="inlineStr">
        <is>
          <t>135 Summit Ridge Drive, Boiling Springs, SC 29316</t>
        </is>
      </c>
      <c r="G111" s="11" t="inlineStr"/>
      <c r="H111" s="9" t="inlineStr">
        <is>
          <t>Carrington Mortgage Services, LLC</t>
        </is>
      </c>
      <c r="I111" s="9" t="inlineStr">
        <is>
          <t>Jennifer Mondonedo; et al.</t>
        </is>
      </c>
      <c r="J111" s="11" t="inlineStr">
        <is>
          <t>waived</t>
        </is>
      </c>
      <c r="K111" s="12" t="n"/>
      <c r="L111" s="10" t="n"/>
      <c r="M111" s="12" t="n"/>
      <c r="N111" s="11">
        <f>IF(OR(B111="",L111=""),"",MAX(0,B111-L111))</f>
        <v/>
      </c>
      <c r="O111" s="12">
        <f>IF(K111="","",K111+IF(OR(M111="",N111=""),0,M111*N111))</f>
        <v/>
      </c>
      <c r="P111" s="11" t="inlineStr"/>
      <c r="Q111" s="12" t="n"/>
      <c r="R111" s="13">
        <f>IF(OR(Q111="",Q111=0,O111=""),"",O111/Q111)</f>
        <v/>
      </c>
      <c r="S111" s="11" t="n"/>
      <c r="T111" s="11" t="n"/>
      <c r="U111" s="11" t="n"/>
      <c r="V111" s="11" t="n"/>
      <c r="W111" s="11" t="n"/>
      <c r="X111" s="11" t="inlineStr"/>
      <c r="Y111" s="11" t="n"/>
      <c r="Z111" s="14" t="inlineStr">
        <is>
          <t>open</t>
        </is>
      </c>
      <c r="AA111" s="11" t="n"/>
      <c r="AB111" s="11" t="n"/>
      <c r="AC111" s="9" t="inlineStr">
        <is>
          <t>135 Summit Ridge Drive, Boiling Springs, SC 29316. Judgment $ not pulled yet (needs the PC run). Deficiency waived — final on the day.</t>
        </is>
      </c>
    </row>
    <row r="112">
      <c r="A112" s="9" t="inlineStr">
        <is>
          <t>Spartanburg</t>
        </is>
      </c>
      <c r="B112" s="10" t="n">
        <v>46273</v>
      </c>
      <c r="C112" s="9" t="n"/>
      <c r="D112" s="11" t="inlineStr">
        <is>
          <t>2026-CP-42-00346</t>
        </is>
      </c>
      <c r="E112" s="11" t="inlineStr">
        <is>
          <t>scheduled</t>
        </is>
      </c>
      <c r="F112" s="9" t="inlineStr">
        <is>
          <t>2130 East Blackstock Road Roebuck, SC 29376</t>
        </is>
      </c>
      <c r="G112" s="11" t="inlineStr">
        <is>
          <t>6-29-15-004.00</t>
        </is>
      </c>
      <c r="H112" s="9" t="inlineStr">
        <is>
          <t>Rocket Mortgage, LLC f/k/a Quicken Loans, LLC</t>
        </is>
      </c>
      <c r="I112" s="9" t="inlineStr">
        <is>
          <t>Carrie Doggett; Jason Doggett; The United States of America, by and through its Agency, the Department of Housing and Urban Development</t>
        </is>
      </c>
      <c r="J112" s="11" t="inlineStr">
        <is>
          <t>waived</t>
        </is>
      </c>
      <c r="K112" s="12" t="n"/>
      <c r="L112" s="10" t="n"/>
      <c r="M112" s="12" t="n"/>
      <c r="N112" s="11">
        <f>IF(OR(B112="",L112=""),"",MAX(0,B112-L112))</f>
        <v/>
      </c>
      <c r="O112" s="12">
        <f>IF(K112="","",K112+IF(OR(M112="",N112=""),0,M112*N112))</f>
        <v/>
      </c>
      <c r="P112" s="11" t="inlineStr">
        <is>
          <t>4.99%</t>
        </is>
      </c>
      <c r="Q112" s="12" t="n"/>
      <c r="R112" s="13">
        <f>IF(OR(Q112="",Q112=0,O112=""),"",O112/Q112)</f>
        <v/>
      </c>
      <c r="S112" s="11" t="n"/>
      <c r="T112" s="11" t="n"/>
      <c r="U112" s="11" t="n"/>
      <c r="V112" s="11" t="n"/>
      <c r="W112" s="11" t="n"/>
      <c r="X112" s="11" t="inlineStr"/>
      <c r="Y112" s="11" t="n"/>
      <c r="Z112" s="14" t="inlineStr">
        <is>
          <t>open</t>
        </is>
      </c>
      <c r="AA112" s="11" t="n"/>
      <c r="AB112" s="11" t="n"/>
      <c r="AC112" s="9" t="inlineStr">
        <is>
          <t>2130 East Blackstock Road Roebuck, SC 29376. Judgment $ not pulled yet (needs the PC run). Deficiency waived — final on the day. Interest on bid 4.99% until compliance; 5% deposit day of sale.</t>
        </is>
      </c>
    </row>
    <row r="113">
      <c r="A113" s="9" t="inlineStr">
        <is>
          <t>Spartanburg</t>
        </is>
      </c>
      <c r="B113" s="10" t="n">
        <v>46273</v>
      </c>
      <c r="C113" s="9" t="n"/>
      <c r="D113" s="11" t="inlineStr">
        <is>
          <t>2025-CP-42-05234</t>
        </is>
      </c>
      <c r="E113" s="11" t="inlineStr">
        <is>
          <t>scheduled</t>
        </is>
      </c>
      <c r="F113" s="9" t="inlineStr">
        <is>
          <t>427 Bollweevil Way Wellford, SC 29385</t>
        </is>
      </c>
      <c r="G113" s="11" t="inlineStr">
        <is>
          <t>5-08-00-024.00</t>
        </is>
      </c>
      <c r="H113" s="9" t="inlineStr">
        <is>
          <t>Rocket Mortgage, LLC f/k/a Quicken Loans, LLC</t>
        </is>
      </c>
      <c r="I113" s="9" t="inlineStr">
        <is>
          <t>Kimberly Phengduang; Leng Keovongxay; Soy Keovongxay; Hinson Hill Homeowner's Association, Inc. aka Hinson Hills Homeowner's Association, Inc.; Wells Fargo Bank, N.A.</t>
        </is>
      </c>
      <c r="J113" s="11" t="inlineStr">
        <is>
          <t>waived</t>
        </is>
      </c>
      <c r="K113" s="12" t="n"/>
      <c r="L113" s="10" t="n"/>
      <c r="M113" s="12" t="n"/>
      <c r="N113" s="11">
        <f>IF(OR(B113="",L113=""),"",MAX(0,B113-L113))</f>
        <v/>
      </c>
      <c r="O113" s="12">
        <f>IF(K113="","",K113+IF(OR(M113="",N113=""),0,M113*N113))</f>
        <v/>
      </c>
      <c r="P113" s="11" t="inlineStr">
        <is>
          <t>3.25%</t>
        </is>
      </c>
      <c r="Q113" s="12" t="n"/>
      <c r="R113" s="13">
        <f>IF(OR(Q113="",Q113=0,O113=""),"",O113/Q113)</f>
        <v/>
      </c>
      <c r="S113" s="11" t="n"/>
      <c r="T113" s="11" t="n"/>
      <c r="U113" s="11" t="n"/>
      <c r="V113" s="11" t="n"/>
      <c r="W113" s="11" t="n"/>
      <c r="X113" s="11" t="inlineStr"/>
      <c r="Y113" s="11" t="n"/>
      <c r="Z113" s="14" t="inlineStr">
        <is>
          <t>open</t>
        </is>
      </c>
      <c r="AA113" s="11" t="n"/>
      <c r="AB113" s="11" t="n"/>
      <c r="AC113" s="9" t="inlineStr">
        <is>
          <t>427 Bollweevil Way Wellford, SC 29385. Judgment $ not pulled yet (needs the PC run). Deficiency waived — final on the day. Interest on bid 3.25% until compliance; 5% deposit day of sale.</t>
        </is>
      </c>
    </row>
    <row r="114">
      <c r="A114" s="9" t="inlineStr">
        <is>
          <t>Spartanburg</t>
        </is>
      </c>
      <c r="B114" s="10" t="n">
        <v>46273</v>
      </c>
      <c r="C114" s="9" t="n"/>
      <c r="D114" s="11" t="inlineStr">
        <is>
          <t>2025-CP-42-04618</t>
        </is>
      </c>
      <c r="E114" s="11" t="inlineStr">
        <is>
          <t>scheduled</t>
        </is>
      </c>
      <c r="F114" s="9" t="inlineStr">
        <is>
          <t>7207 Heirloom Lane Inman, SC 29349</t>
        </is>
      </c>
      <c r="G114" s="11" t="inlineStr">
        <is>
          <t>2-36-00-084.35</t>
        </is>
      </c>
      <c r="H114" s="9" t="inlineStr">
        <is>
          <t>Freedom Mortgage Corporation</t>
        </is>
      </c>
      <c r="I114" s="9" t="inlineStr">
        <is>
          <t>Ashlynn E Kratz; Aaron W Kratz; Regency Walk Homeowners Association</t>
        </is>
      </c>
      <c r="J114" s="11" t="inlineStr">
        <is>
          <t>waived</t>
        </is>
      </c>
      <c r="K114" s="12" t="n"/>
      <c r="L114" s="10" t="n"/>
      <c r="M114" s="12" t="n"/>
      <c r="N114" s="11">
        <f>IF(OR(B114="",L114=""),"",MAX(0,B114-L114))</f>
        <v/>
      </c>
      <c r="O114" s="12">
        <f>IF(K114="","",K114+IF(OR(M114="",N114=""),0,M114*N114))</f>
        <v/>
      </c>
      <c r="P114" s="11" t="inlineStr">
        <is>
          <t>5.75%</t>
        </is>
      </c>
      <c r="Q114" s="12" t="n"/>
      <c r="R114" s="13">
        <f>IF(OR(Q114="",Q114=0,O114=""),"",O114/Q114)</f>
        <v/>
      </c>
      <c r="S114" s="11" t="n"/>
      <c r="T114" s="11" t="n"/>
      <c r="U114" s="11" t="n"/>
      <c r="V114" s="11" t="n"/>
      <c r="W114" s="11" t="n"/>
      <c r="X114" s="11" t="inlineStr"/>
      <c r="Y114" s="11" t="n"/>
      <c r="Z114" s="14" t="inlineStr">
        <is>
          <t>open</t>
        </is>
      </c>
      <c r="AA114" s="11" t="n"/>
      <c r="AB114" s="11" t="n"/>
      <c r="AC114" s="9" t="inlineStr">
        <is>
          <t>7207 Heirloom Lane Inman, SC 29349. Judgment $ not pulled yet (needs the PC run). Deficiency waived — final on the day. Interest on bid 5.75% until compliance; 5% deposit day of sale.</t>
        </is>
      </c>
    </row>
    <row r="115">
      <c r="A115" s="9" t="inlineStr">
        <is>
          <t>Charleston</t>
        </is>
      </c>
      <c r="B115" s="10" t="n">
        <v>46301</v>
      </c>
      <c r="C115" s="9" t="n"/>
      <c r="D115" s="11" t="inlineStr">
        <is>
          <t>2025-CP-10-03604</t>
        </is>
      </c>
      <c r="E115" s="11" t="inlineStr">
        <is>
          <t>scheduled</t>
        </is>
      </c>
      <c r="F115" s="9" t="inlineStr">
        <is>
          <t>6300 Hyde Park Road, Ravenel</t>
        </is>
      </c>
      <c r="G115" s="11" t="inlineStr">
        <is>
          <t>1800000002</t>
        </is>
      </c>
      <c r="H115" s="9" t="inlineStr">
        <is>
          <t>Donald Mullis</t>
        </is>
      </c>
      <c r="I115" s="9" t="inlineStr">
        <is>
          <t>Charles B. Hunter III</t>
        </is>
      </c>
      <c r="J115" s="11" t="inlineStr">
        <is>
          <t>unknown</t>
        </is>
      </c>
      <c r="K115" s="12" t="n">
        <v>144037.48</v>
      </c>
      <c r="L115" s="10" t="n"/>
      <c r="M115" s="12" t="n"/>
      <c r="N115" s="11">
        <f>IF(OR(B115="",L115=""),"",MAX(0,B115-L115))</f>
        <v/>
      </c>
      <c r="O115" s="12">
        <f>IF(K115="","",K115+IF(OR(M115="",N115=""),0,M115*N115))</f>
        <v/>
      </c>
      <c r="P115" s="11" t="n"/>
      <c r="Q115" s="12" t="n"/>
      <c r="R115" s="13">
        <f>IF(OR(Q115="",Q115=0,O115=""),"",O115/Q115)</f>
        <v/>
      </c>
      <c r="S115" s="11" t="n"/>
      <c r="T115" s="11" t="n"/>
      <c r="U115" s="11" t="n"/>
      <c r="V115" s="11" t="n"/>
      <c r="W115" s="11" t="n"/>
      <c r="X115" s="11" t="inlineStr"/>
      <c r="Y115" s="14" t="inlineStr">
        <is>
          <t>open</t>
        </is>
      </c>
      <c r="Z115" s="11" t="n"/>
      <c r="AA115" s="11" t="n"/>
      <c r="AB115" s="11" t="n"/>
      <c r="AC115" s="9" t="inlineStr">
        <is>
          <t>6300 Hyde Park Road, Ravenel. Judgment $144,037.48. Deficiency not stated — check the notice.</t>
        </is>
      </c>
    </row>
    <row r="116">
      <c r="A116" s="9" t="inlineStr">
        <is>
          <t>Charleston</t>
        </is>
      </c>
      <c r="B116" s="10" t="n">
        <v>46301</v>
      </c>
      <c r="C116" s="9" t="n"/>
      <c r="D116" s="11" t="inlineStr">
        <is>
          <t>2025-CP-10-03605</t>
        </is>
      </c>
      <c r="E116" s="11" t="inlineStr">
        <is>
          <t>scheduled</t>
        </is>
      </c>
      <c r="F116" s="9" t="inlineStr">
        <is>
          <t>6298 Hyde Park Road, Ravenel</t>
        </is>
      </c>
      <c r="G116" s="11" t="inlineStr">
        <is>
          <t>1800000003</t>
        </is>
      </c>
      <c r="H116" s="9" t="inlineStr">
        <is>
          <t>Donald Mullis</t>
        </is>
      </c>
      <c r="I116" s="9" t="inlineStr">
        <is>
          <t>Charles B. Hunter III</t>
        </is>
      </c>
      <c r="J116" s="11" t="inlineStr">
        <is>
          <t>unknown</t>
        </is>
      </c>
      <c r="K116" s="12" t="n">
        <v>92849.67999999999</v>
      </c>
      <c r="L116" s="10" t="n"/>
      <c r="M116" s="12" t="n"/>
      <c r="N116" s="11">
        <f>IF(OR(B116="",L116=""),"",MAX(0,B116-L116))</f>
        <v/>
      </c>
      <c r="O116" s="12">
        <f>IF(K116="","",K116+IF(OR(M116="",N116=""),0,M116*N116))</f>
        <v/>
      </c>
      <c r="P116" s="11" t="n"/>
      <c r="Q116" s="12" t="n"/>
      <c r="R116" s="13">
        <f>IF(OR(Q116="",Q116=0,O116=""),"",O116/Q116)</f>
        <v/>
      </c>
      <c r="S116" s="11" t="n"/>
      <c r="T116" s="11" t="n"/>
      <c r="U116" s="11" t="n"/>
      <c r="V116" s="11" t="n"/>
      <c r="W116" s="11" t="n"/>
      <c r="X116" s="11" t="inlineStr"/>
      <c r="Y116" s="14" t="inlineStr">
        <is>
          <t>open</t>
        </is>
      </c>
      <c r="Z116" s="11" t="n"/>
      <c r="AA116" s="11" t="n"/>
      <c r="AB116" s="11" t="n"/>
      <c r="AC116" s="9" t="inlineStr">
        <is>
          <t>6298 Hyde Park Road, Ravenel. Judgment $92,849.68. Deficiency not stated — check the notice.</t>
        </is>
      </c>
    </row>
    <row r="117">
      <c r="A117" s="9" t="inlineStr">
        <is>
          <t>Charleston</t>
        </is>
      </c>
      <c r="B117" s="10" t="n">
        <v>46301</v>
      </c>
      <c r="C117" s="9" t="n"/>
      <c r="D117" s="11" t="inlineStr">
        <is>
          <t>2025-CP-10-02833</t>
        </is>
      </c>
      <c r="E117" s="11" t="inlineStr">
        <is>
          <t>scheduled</t>
        </is>
      </c>
      <c r="F117" s="9" t="inlineStr">
        <is>
          <t>2644Elissa Drive, West Ashley</t>
        </is>
      </c>
      <c r="G117" s="11" t="inlineStr">
        <is>
          <t>3550200111</t>
        </is>
      </c>
      <c r="H117" s="9" t="inlineStr">
        <is>
          <t>Navy Federal Credit Union</t>
        </is>
      </c>
      <c r="I117" s="9" t="inlineStr">
        <is>
          <t>Saied H. Ganjbakhsh</t>
        </is>
      </c>
      <c r="J117" s="11" t="inlineStr">
        <is>
          <t>unknown</t>
        </is>
      </c>
      <c r="K117" s="12" t="n">
        <v>147033.63</v>
      </c>
      <c r="L117" s="10" t="n"/>
      <c r="M117" s="12" t="n"/>
      <c r="N117" s="11">
        <f>IF(OR(B117="",L117=""),"",MAX(0,B117-L117))</f>
        <v/>
      </c>
      <c r="O117" s="12">
        <f>IF(K117="","",K117+IF(OR(M117="",N117=""),0,M117*N117))</f>
        <v/>
      </c>
      <c r="P117" s="11" t="n"/>
      <c r="Q117" s="12" t="n"/>
      <c r="R117" s="13">
        <f>IF(OR(Q117="",Q117=0,O117=""),"",O117/Q117)</f>
        <v/>
      </c>
      <c r="S117" s="11" t="n"/>
      <c r="T117" s="11" t="n"/>
      <c r="U117" s="11" t="n"/>
      <c r="V117" s="11" t="n"/>
      <c r="W117" s="11" t="n"/>
      <c r="X117" s="11" t="inlineStr"/>
      <c r="Y117" s="14" t="inlineStr">
        <is>
          <t>open</t>
        </is>
      </c>
      <c r="Z117" s="11" t="n"/>
      <c r="AA117" s="11" t="n"/>
      <c r="AB117" s="11" t="n"/>
      <c r="AC117" s="9" t="inlineStr">
        <is>
          <t>2644Elissa Drive, West Ashley. Judgment $147,033.63. Deficiency not stated — check the notice.</t>
        </is>
      </c>
    </row>
    <row r="118">
      <c r="A118" s="9" t="inlineStr">
        <is>
          <t>Charleston</t>
        </is>
      </c>
      <c r="B118" s="10" t="n">
        <v>46301</v>
      </c>
      <c r="C118" s="9" t="n"/>
      <c r="D118" s="11" t="inlineStr">
        <is>
          <t>2025-CP-10-06969</t>
        </is>
      </c>
      <c r="E118" s="11" t="inlineStr">
        <is>
          <t>scheduled</t>
        </is>
      </c>
      <c r="F118" s="9" t="inlineStr">
        <is>
          <t>1011 Ashley Avenue, Downtown Charleston</t>
        </is>
      </c>
      <c r="G118" s="11" t="inlineStr">
        <is>
          <t>4630801126</t>
        </is>
      </c>
      <c r="H118" s="9" t="inlineStr">
        <is>
          <t>SC Federal Credit Union</t>
        </is>
      </c>
      <c r="I118" s="9" t="inlineStr">
        <is>
          <t>78 Devereaux Ave, LLC</t>
        </is>
      </c>
      <c r="J118" s="11" t="inlineStr">
        <is>
          <t>unknown</t>
        </is>
      </c>
      <c r="K118" s="12" t="n">
        <v>1153392.26</v>
      </c>
      <c r="L118" s="10" t="n"/>
      <c r="M118" s="12" t="n"/>
      <c r="N118" s="11">
        <f>IF(OR(B118="",L118=""),"",MAX(0,B118-L118))</f>
        <v/>
      </c>
      <c r="O118" s="12">
        <f>IF(K118="","",K118+IF(OR(M118="",N118=""),0,M118*N118))</f>
        <v/>
      </c>
      <c r="P118" s="11" t="n"/>
      <c r="Q118" s="12" t="n"/>
      <c r="R118" s="13">
        <f>IF(OR(Q118="",Q118=0,O118=""),"",O118/Q118)</f>
        <v/>
      </c>
      <c r="S118" s="11" t="n"/>
      <c r="T118" s="11" t="n"/>
      <c r="U118" s="11" t="n"/>
      <c r="V118" s="11" t="n"/>
      <c r="W118" s="11" t="n"/>
      <c r="X118" s="11" t="inlineStr"/>
      <c r="Y118" s="14" t="inlineStr">
        <is>
          <t>open</t>
        </is>
      </c>
      <c r="Z118" s="11" t="n"/>
      <c r="AA118" s="11" t="n"/>
      <c r="AB118" s="11" t="n"/>
      <c r="AC118" s="9" t="inlineStr">
        <is>
          <t>1011 Ashley Avenue, Downtown Charleston. Judgment $1,153,392.26. Deficiency not stated — check the notice.</t>
        </is>
      </c>
    </row>
    <row r="119">
      <c r="A119" s="9" t="inlineStr">
        <is>
          <t>Charleston</t>
        </is>
      </c>
      <c r="B119" s="10" t="n">
        <v>46301</v>
      </c>
      <c r="C119" s="9" t="n"/>
      <c r="D119" s="11" t="inlineStr">
        <is>
          <t>2024-CP-10-01687</t>
        </is>
      </c>
      <c r="E119" s="11" t="inlineStr">
        <is>
          <t>scheduled</t>
        </is>
      </c>
      <c r="F119" s="9" t="inlineStr">
        <is>
          <t>8318 Bordeaux Court, North Charleston</t>
        </is>
      </c>
      <c r="G119" s="11" t="inlineStr">
        <is>
          <t>4850600052</t>
        </is>
      </c>
      <c r="H119" s="9" t="inlineStr">
        <is>
          <t>US Bank Trust</t>
        </is>
      </c>
      <c r="I119" s="9" t="inlineStr">
        <is>
          <t>Robert V. Leeper</t>
        </is>
      </c>
      <c r="J119" s="11" t="inlineStr">
        <is>
          <t>unknown</t>
        </is>
      </c>
      <c r="K119" s="12" t="n">
        <v>224958.29</v>
      </c>
      <c r="L119" s="10" t="n"/>
      <c r="M119" s="12" t="n"/>
      <c r="N119" s="11">
        <f>IF(OR(B119="",L119=""),"",MAX(0,B119-L119))</f>
        <v/>
      </c>
      <c r="O119" s="12">
        <f>IF(K119="","",K119+IF(OR(M119="",N119=""),0,M119*N119))</f>
        <v/>
      </c>
      <c r="P119" s="11" t="n"/>
      <c r="Q119" s="12" t="n"/>
      <c r="R119" s="13">
        <f>IF(OR(Q119="",Q119=0,O119=""),"",O119/Q119)</f>
        <v/>
      </c>
      <c r="S119" s="11" t="n"/>
      <c r="T119" s="11" t="n"/>
      <c r="U119" s="11" t="n"/>
      <c r="V119" s="11" t="n"/>
      <c r="W119" s="11" t="n"/>
      <c r="X119" s="11" t="inlineStr"/>
      <c r="Y119" s="14" t="inlineStr">
        <is>
          <t>open</t>
        </is>
      </c>
      <c r="Z119" s="11" t="n"/>
      <c r="AA119" s="11" t="n"/>
      <c r="AB119" s="11" t="n"/>
      <c r="AC119" s="9" t="inlineStr">
        <is>
          <t>8318 Bordeaux Court, North Charleston. Judgment $224,958.29. Deficiency not stated — check the notice.</t>
        </is>
      </c>
    </row>
    <row r="120">
      <c r="A120" s="9" t="inlineStr">
        <is>
          <t>Charleston</t>
        </is>
      </c>
      <c r="B120" s="10" t="n">
        <v>46301</v>
      </c>
      <c r="C120" s="9" t="n"/>
      <c r="D120" s="11" t="inlineStr">
        <is>
          <t>2025-CP-10-02044</t>
        </is>
      </c>
      <c r="E120" s="11" t="inlineStr">
        <is>
          <t>scheduled</t>
        </is>
      </c>
      <c r="F120" s="9" t="inlineStr">
        <is>
          <t>200 Dunmeyer Hill Rd., Summerville</t>
        </is>
      </c>
      <c r="G120" s="11" t="inlineStr">
        <is>
          <t>3880000201</t>
        </is>
      </c>
      <c r="H120" s="9" t="inlineStr">
        <is>
          <t>US Bank National</t>
        </is>
      </c>
      <c r="I120" s="9" t="inlineStr">
        <is>
          <t>Wilhelmina Williams</t>
        </is>
      </c>
      <c r="J120" s="11" t="inlineStr">
        <is>
          <t>unknown</t>
        </is>
      </c>
      <c r="K120" s="12" t="n">
        <v>129718.35</v>
      </c>
      <c r="L120" s="10" t="n"/>
      <c r="M120" s="12" t="n"/>
      <c r="N120" s="11">
        <f>IF(OR(B120="",L120=""),"",MAX(0,B120-L120))</f>
        <v/>
      </c>
      <c r="O120" s="12">
        <f>IF(K120="","",K120+IF(OR(M120="",N120=""),0,M120*N120))</f>
        <v/>
      </c>
      <c r="P120" s="11" t="n"/>
      <c r="Q120" s="12" t="n"/>
      <c r="R120" s="13">
        <f>IF(OR(Q120="",Q120=0,O120=""),"",O120/Q120)</f>
        <v/>
      </c>
      <c r="S120" s="11" t="n"/>
      <c r="T120" s="11" t="n"/>
      <c r="U120" s="11" t="n"/>
      <c r="V120" s="11" t="n"/>
      <c r="W120" s="11" t="n"/>
      <c r="X120" s="11" t="inlineStr"/>
      <c r="Y120" s="14" t="inlineStr">
        <is>
          <t>open</t>
        </is>
      </c>
      <c r="Z120" s="11" t="n"/>
      <c r="AA120" s="11" t="n"/>
      <c r="AB120" s="11" t="n"/>
      <c r="AC120" s="9" t="inlineStr">
        <is>
          <t>200 Dunmeyer Hill Rd., Summerville. Judgment $129,718.35. Deficiency not stated — check the notice.</t>
        </is>
      </c>
    </row>
    <row r="121">
      <c r="A121" s="9" t="inlineStr">
        <is>
          <t>Charleston</t>
        </is>
      </c>
      <c r="B121" s="10" t="n">
        <v>46301</v>
      </c>
      <c r="C121" s="9" t="n"/>
      <c r="D121" s="11" t="inlineStr">
        <is>
          <t>2026-CP-10-00297</t>
        </is>
      </c>
      <c r="E121" s="11" t="inlineStr">
        <is>
          <t>scheduled</t>
        </is>
      </c>
      <c r="F121" s="9" t="inlineStr">
        <is>
          <t>1977 Central Park Road, James Island</t>
        </is>
      </c>
      <c r="G121" s="11" t="inlineStr">
        <is>
          <t>3400000043</t>
        </is>
      </c>
      <c r="H121" s="9" t="inlineStr">
        <is>
          <t>Wilmington Trust</t>
        </is>
      </c>
      <c r="I121" s="9" t="inlineStr">
        <is>
          <t>78 Devereaux Ave, LLC</t>
        </is>
      </c>
      <c r="J121" s="11" t="inlineStr">
        <is>
          <t>unknown</t>
        </is>
      </c>
      <c r="K121" s="12" t="n">
        <v>379502.01</v>
      </c>
      <c r="L121" s="10" t="n"/>
      <c r="M121" s="12" t="n"/>
      <c r="N121" s="11">
        <f>IF(OR(B121="",L121=""),"",MAX(0,B121-L121))</f>
        <v/>
      </c>
      <c r="O121" s="12">
        <f>IF(K121="","",K121+IF(OR(M121="",N121=""),0,M121*N121))</f>
        <v/>
      </c>
      <c r="P121" s="11" t="n"/>
      <c r="Q121" s="12" t="n"/>
      <c r="R121" s="13">
        <f>IF(OR(Q121="",Q121=0,O121=""),"",O121/Q121)</f>
        <v/>
      </c>
      <c r="S121" s="11" t="n"/>
      <c r="T121" s="11" t="n"/>
      <c r="U121" s="11" t="n"/>
      <c r="V121" s="11" t="n"/>
      <c r="W121" s="11" t="n"/>
      <c r="X121" s="11" t="inlineStr"/>
      <c r="Y121" s="14" t="inlineStr">
        <is>
          <t>open</t>
        </is>
      </c>
      <c r="Z121" s="11" t="n"/>
      <c r="AA121" s="11" t="n"/>
      <c r="AB121" s="11" t="n"/>
      <c r="AC121" s="9" t="inlineStr">
        <is>
          <t>1977 Central Park Road, James Island. Judgment $379,502.01. Deficiency not stated — check the notice.</t>
        </is>
      </c>
    </row>
    <row r="122">
      <c r="A122" s="9" t="inlineStr">
        <is>
          <t>Charleston</t>
        </is>
      </c>
      <c r="B122" s="10" t="n">
        <v>46301</v>
      </c>
      <c r="C122" s="9" t="n"/>
      <c r="D122" s="11" t="inlineStr">
        <is>
          <t>2023-CP-10-05098</t>
        </is>
      </c>
      <c r="E122" s="11" t="inlineStr">
        <is>
          <t>scheduled</t>
        </is>
      </c>
      <c r="F122" s="9" t="inlineStr">
        <is>
          <t>2627 Kingsfield Street, Mt. Pleasant</t>
        </is>
      </c>
      <c r="G122" s="11" t="inlineStr">
        <is>
          <t>5941500214</t>
        </is>
      </c>
      <c r="H122" s="9" t="inlineStr">
        <is>
          <t>Center Park South POA</t>
        </is>
      </c>
      <c r="I122" s="9" t="inlineStr">
        <is>
          <t>Alonzo Muldrow</t>
        </is>
      </c>
      <c r="J122" s="11" t="inlineStr">
        <is>
          <t>unknown</t>
        </is>
      </c>
      <c r="K122" s="12" t="n">
        <v>10594.7</v>
      </c>
      <c r="L122" s="10" t="n"/>
      <c r="M122" s="12" t="n"/>
      <c r="N122" s="11">
        <f>IF(OR(B122="",L122=""),"",MAX(0,B122-L122))</f>
        <v/>
      </c>
      <c r="O122" s="12">
        <f>IF(K122="","",K122+IF(OR(M122="",N122=""),0,M122*N122))</f>
        <v/>
      </c>
      <c r="P122" s="11" t="n"/>
      <c r="Q122" s="12" t="n"/>
      <c r="R122" s="13">
        <f>IF(OR(Q122="",Q122=0,O122=""),"",O122/Q122)</f>
        <v/>
      </c>
      <c r="S122" s="11" t="n"/>
      <c r="T122" s="11" t="n"/>
      <c r="U122" s="11" t="n"/>
      <c r="V122" s="11" t="n"/>
      <c r="W122" s="11" t="n"/>
      <c r="X122" s="11" t="inlineStr"/>
      <c r="Y122" s="14" t="inlineStr">
        <is>
          <t>open</t>
        </is>
      </c>
      <c r="Z122" s="11" t="n"/>
      <c r="AA122" s="11" t="n"/>
      <c r="AB122" s="11" t="n"/>
      <c r="AC122" s="9" t="inlineStr">
        <is>
          <t>2627 Kingsfield Street, Mt. Pleasant. Judgment $10,594.70. Deficiency not stated — check the notice.</t>
        </is>
      </c>
    </row>
    <row r="123">
      <c r="A123" s="9" t="inlineStr">
        <is>
          <t>Charleston</t>
        </is>
      </c>
      <c r="B123" s="10" t="n">
        <v>46301</v>
      </c>
      <c r="C123" s="9" t="n"/>
      <c r="D123" s="11" t="inlineStr">
        <is>
          <t>2025-CP-10-03736</t>
        </is>
      </c>
      <c r="E123" s="11" t="inlineStr">
        <is>
          <t>scheduled</t>
        </is>
      </c>
      <c r="F123" s="9" t="inlineStr">
        <is>
          <t>L26 Great River Dr L6 Jericho Court L24 Great River Dr., North Charleston</t>
        </is>
      </c>
      <c r="G123" s="11" t="inlineStr">
        <is>
          <t>4061000110, 4061000090, 4061000106</t>
        </is>
      </c>
      <c r="H123" s="9" t="inlineStr">
        <is>
          <t>Jerico on the Ashley HOA</t>
        </is>
      </c>
      <c r="I123" s="9" t="inlineStr">
        <is>
          <t>George E. Scott</t>
        </is>
      </c>
      <c r="J123" s="11" t="inlineStr">
        <is>
          <t>unknown</t>
        </is>
      </c>
      <c r="K123" s="12" t="n">
        <v>20798.67</v>
      </c>
      <c r="L123" s="10" t="n"/>
      <c r="M123" s="12" t="n"/>
      <c r="N123" s="11">
        <f>IF(OR(B123="",L123=""),"",MAX(0,B123-L123))</f>
        <v/>
      </c>
      <c r="O123" s="12">
        <f>IF(K123="","",K123+IF(OR(M123="",N123=""),0,M123*N123))</f>
        <v/>
      </c>
      <c r="P123" s="11" t="n"/>
      <c r="Q123" s="12" t="n"/>
      <c r="R123" s="13">
        <f>IF(OR(Q123="",Q123=0,O123=""),"",O123/Q123)</f>
        <v/>
      </c>
      <c r="S123" s="11" t="n"/>
      <c r="T123" s="11" t="n"/>
      <c r="U123" s="11" t="n"/>
      <c r="V123" s="11" t="n"/>
      <c r="W123" s="11" t="n"/>
      <c r="X123" s="11" t="inlineStr"/>
      <c r="Y123" s="14" t="inlineStr">
        <is>
          <t>open</t>
        </is>
      </c>
      <c r="Z123" s="11" t="n"/>
      <c r="AA123" s="11" t="n"/>
      <c r="AB123" s="11" t="n"/>
      <c r="AC123" s="9" t="inlineStr">
        <is>
          <t>L26 Great River Dr L6 Jericho Court L24 Great River Dr., North Charleston. Judgment $20,798.67. Deficiency not stated — check the notice.</t>
        </is>
      </c>
    </row>
  </sheetData>
  <autoFilter ref="A1:AC123"/>
  <hyperlinks>
    <hyperlink xmlns:r="http://schemas.openxmlformats.org/officeDocument/2006/relationships" ref="Z9" r:id="rId1"/>
    <hyperlink xmlns:r="http://schemas.openxmlformats.org/officeDocument/2006/relationships" ref="Y10" r:id="rId2"/>
    <hyperlink xmlns:r="http://schemas.openxmlformats.org/officeDocument/2006/relationships" ref="Z10" r:id="rId3"/>
    <hyperlink xmlns:r="http://schemas.openxmlformats.org/officeDocument/2006/relationships" ref="AB10" r:id="rId4"/>
    <hyperlink xmlns:r="http://schemas.openxmlformats.org/officeDocument/2006/relationships" ref="Y11" r:id="rId5"/>
    <hyperlink xmlns:r="http://schemas.openxmlformats.org/officeDocument/2006/relationships" ref="Z11" r:id="rId6"/>
    <hyperlink xmlns:r="http://schemas.openxmlformats.org/officeDocument/2006/relationships" ref="AB11" r:id="rId7"/>
    <hyperlink xmlns:r="http://schemas.openxmlformats.org/officeDocument/2006/relationships" ref="Y12" r:id="rId8"/>
    <hyperlink xmlns:r="http://schemas.openxmlformats.org/officeDocument/2006/relationships" ref="Z12" r:id="rId9"/>
    <hyperlink xmlns:r="http://schemas.openxmlformats.org/officeDocument/2006/relationships" ref="AB12" r:id="rId10"/>
    <hyperlink xmlns:r="http://schemas.openxmlformats.org/officeDocument/2006/relationships" ref="Y13" r:id="rId11"/>
    <hyperlink xmlns:r="http://schemas.openxmlformats.org/officeDocument/2006/relationships" ref="Z13" r:id="rId12"/>
    <hyperlink xmlns:r="http://schemas.openxmlformats.org/officeDocument/2006/relationships" ref="AB13" r:id="rId13"/>
    <hyperlink xmlns:r="http://schemas.openxmlformats.org/officeDocument/2006/relationships" ref="Z14" r:id="rId14"/>
    <hyperlink xmlns:r="http://schemas.openxmlformats.org/officeDocument/2006/relationships" ref="Z15" r:id="rId15"/>
    <hyperlink xmlns:r="http://schemas.openxmlformats.org/officeDocument/2006/relationships" ref="Y16" r:id="rId16"/>
    <hyperlink xmlns:r="http://schemas.openxmlformats.org/officeDocument/2006/relationships" ref="Z16" r:id="rId17"/>
    <hyperlink xmlns:r="http://schemas.openxmlformats.org/officeDocument/2006/relationships" ref="AB16" r:id="rId18"/>
    <hyperlink xmlns:r="http://schemas.openxmlformats.org/officeDocument/2006/relationships" ref="Y17" r:id="rId19"/>
    <hyperlink xmlns:r="http://schemas.openxmlformats.org/officeDocument/2006/relationships" ref="Z17" r:id="rId20"/>
    <hyperlink xmlns:r="http://schemas.openxmlformats.org/officeDocument/2006/relationships" ref="AB17" r:id="rId21"/>
    <hyperlink xmlns:r="http://schemas.openxmlformats.org/officeDocument/2006/relationships" ref="Y18" r:id="rId22"/>
    <hyperlink xmlns:r="http://schemas.openxmlformats.org/officeDocument/2006/relationships" ref="Z18" r:id="rId23"/>
    <hyperlink xmlns:r="http://schemas.openxmlformats.org/officeDocument/2006/relationships" ref="AB18" r:id="rId24"/>
    <hyperlink xmlns:r="http://schemas.openxmlformats.org/officeDocument/2006/relationships" ref="Y19" r:id="rId25"/>
    <hyperlink xmlns:r="http://schemas.openxmlformats.org/officeDocument/2006/relationships" ref="Z19" r:id="rId26"/>
    <hyperlink xmlns:r="http://schemas.openxmlformats.org/officeDocument/2006/relationships" ref="Y20" r:id="rId27"/>
    <hyperlink xmlns:r="http://schemas.openxmlformats.org/officeDocument/2006/relationships" ref="Z20" r:id="rId28"/>
    <hyperlink xmlns:r="http://schemas.openxmlformats.org/officeDocument/2006/relationships" ref="AB20" r:id="rId29"/>
    <hyperlink xmlns:r="http://schemas.openxmlformats.org/officeDocument/2006/relationships" ref="Z21" r:id="rId30"/>
    <hyperlink xmlns:r="http://schemas.openxmlformats.org/officeDocument/2006/relationships" ref="Z22" r:id="rId31"/>
    <hyperlink xmlns:r="http://schemas.openxmlformats.org/officeDocument/2006/relationships" ref="AB22" r:id="rId32"/>
    <hyperlink xmlns:r="http://schemas.openxmlformats.org/officeDocument/2006/relationships" ref="Z23" r:id="rId33"/>
    <hyperlink xmlns:r="http://schemas.openxmlformats.org/officeDocument/2006/relationships" ref="Y24" r:id="rId34"/>
    <hyperlink xmlns:r="http://schemas.openxmlformats.org/officeDocument/2006/relationships" ref="Z24" r:id="rId35"/>
    <hyperlink xmlns:r="http://schemas.openxmlformats.org/officeDocument/2006/relationships" ref="AB24" r:id="rId36"/>
    <hyperlink xmlns:r="http://schemas.openxmlformats.org/officeDocument/2006/relationships" ref="Z25" r:id="rId37"/>
    <hyperlink xmlns:r="http://schemas.openxmlformats.org/officeDocument/2006/relationships" ref="Y26" r:id="rId38"/>
    <hyperlink xmlns:r="http://schemas.openxmlformats.org/officeDocument/2006/relationships" ref="Z26" r:id="rId39"/>
    <hyperlink xmlns:r="http://schemas.openxmlformats.org/officeDocument/2006/relationships" ref="AB26" r:id="rId40"/>
    <hyperlink xmlns:r="http://schemas.openxmlformats.org/officeDocument/2006/relationships" ref="Z27" r:id="rId41"/>
    <hyperlink xmlns:r="http://schemas.openxmlformats.org/officeDocument/2006/relationships" ref="Y28" r:id="rId42"/>
    <hyperlink xmlns:r="http://schemas.openxmlformats.org/officeDocument/2006/relationships" ref="Z28" r:id="rId43"/>
    <hyperlink xmlns:r="http://schemas.openxmlformats.org/officeDocument/2006/relationships" ref="AB28" r:id="rId44"/>
    <hyperlink xmlns:r="http://schemas.openxmlformats.org/officeDocument/2006/relationships" ref="Z29" r:id="rId45"/>
    <hyperlink xmlns:r="http://schemas.openxmlformats.org/officeDocument/2006/relationships" ref="Z30" r:id="rId46"/>
    <hyperlink xmlns:r="http://schemas.openxmlformats.org/officeDocument/2006/relationships" ref="Y31" r:id="rId47"/>
    <hyperlink xmlns:r="http://schemas.openxmlformats.org/officeDocument/2006/relationships" ref="Z31" r:id="rId48"/>
    <hyperlink xmlns:r="http://schemas.openxmlformats.org/officeDocument/2006/relationships" ref="AB31" r:id="rId49"/>
    <hyperlink xmlns:r="http://schemas.openxmlformats.org/officeDocument/2006/relationships" ref="Y32" r:id="rId50"/>
    <hyperlink xmlns:r="http://schemas.openxmlformats.org/officeDocument/2006/relationships" ref="Z32" r:id="rId51"/>
    <hyperlink xmlns:r="http://schemas.openxmlformats.org/officeDocument/2006/relationships" ref="AB32" r:id="rId52"/>
    <hyperlink xmlns:r="http://schemas.openxmlformats.org/officeDocument/2006/relationships" ref="Y33" r:id="rId53"/>
    <hyperlink xmlns:r="http://schemas.openxmlformats.org/officeDocument/2006/relationships" ref="Z33" r:id="rId54"/>
    <hyperlink xmlns:r="http://schemas.openxmlformats.org/officeDocument/2006/relationships" ref="AB33" r:id="rId55"/>
    <hyperlink xmlns:r="http://schemas.openxmlformats.org/officeDocument/2006/relationships" ref="Y34" r:id="rId56"/>
    <hyperlink xmlns:r="http://schemas.openxmlformats.org/officeDocument/2006/relationships" ref="Z34" r:id="rId57"/>
    <hyperlink xmlns:r="http://schemas.openxmlformats.org/officeDocument/2006/relationships" ref="AB34" r:id="rId58"/>
    <hyperlink xmlns:r="http://schemas.openxmlformats.org/officeDocument/2006/relationships" ref="Y35" r:id="rId59"/>
    <hyperlink xmlns:r="http://schemas.openxmlformats.org/officeDocument/2006/relationships" ref="Z35" r:id="rId60"/>
    <hyperlink xmlns:r="http://schemas.openxmlformats.org/officeDocument/2006/relationships" ref="AB35" r:id="rId61"/>
    <hyperlink xmlns:r="http://schemas.openxmlformats.org/officeDocument/2006/relationships" ref="Y36" r:id="rId62"/>
    <hyperlink xmlns:r="http://schemas.openxmlformats.org/officeDocument/2006/relationships" ref="Z36" r:id="rId63"/>
    <hyperlink xmlns:r="http://schemas.openxmlformats.org/officeDocument/2006/relationships" ref="AB36" r:id="rId64"/>
    <hyperlink xmlns:r="http://schemas.openxmlformats.org/officeDocument/2006/relationships" ref="Z37" r:id="rId65"/>
    <hyperlink xmlns:r="http://schemas.openxmlformats.org/officeDocument/2006/relationships" ref="Y38" r:id="rId66"/>
    <hyperlink xmlns:r="http://schemas.openxmlformats.org/officeDocument/2006/relationships" ref="Y39" r:id="rId67"/>
    <hyperlink xmlns:r="http://schemas.openxmlformats.org/officeDocument/2006/relationships" ref="Y40" r:id="rId68"/>
    <hyperlink xmlns:r="http://schemas.openxmlformats.org/officeDocument/2006/relationships" ref="Y41" r:id="rId69"/>
    <hyperlink xmlns:r="http://schemas.openxmlformats.org/officeDocument/2006/relationships" ref="Y42" r:id="rId70"/>
    <hyperlink xmlns:r="http://schemas.openxmlformats.org/officeDocument/2006/relationships" ref="Y43" r:id="rId71"/>
    <hyperlink xmlns:r="http://schemas.openxmlformats.org/officeDocument/2006/relationships" ref="Y44" r:id="rId72"/>
    <hyperlink xmlns:r="http://schemas.openxmlformats.org/officeDocument/2006/relationships" ref="Y45" r:id="rId73"/>
    <hyperlink xmlns:r="http://schemas.openxmlformats.org/officeDocument/2006/relationships" ref="Y46" r:id="rId74"/>
    <hyperlink xmlns:r="http://schemas.openxmlformats.org/officeDocument/2006/relationships" ref="Y47" r:id="rId75"/>
    <hyperlink xmlns:r="http://schemas.openxmlformats.org/officeDocument/2006/relationships" ref="Y48" r:id="rId76"/>
    <hyperlink xmlns:r="http://schemas.openxmlformats.org/officeDocument/2006/relationships" ref="Y49" r:id="rId77"/>
    <hyperlink xmlns:r="http://schemas.openxmlformats.org/officeDocument/2006/relationships" ref="Y50" r:id="rId78"/>
    <hyperlink xmlns:r="http://schemas.openxmlformats.org/officeDocument/2006/relationships" ref="Y51" r:id="rId79"/>
    <hyperlink xmlns:r="http://schemas.openxmlformats.org/officeDocument/2006/relationships" ref="Y52" r:id="rId80"/>
    <hyperlink xmlns:r="http://schemas.openxmlformats.org/officeDocument/2006/relationships" ref="Y53" r:id="rId81"/>
    <hyperlink xmlns:r="http://schemas.openxmlformats.org/officeDocument/2006/relationships" ref="Y54" r:id="rId82"/>
    <hyperlink xmlns:r="http://schemas.openxmlformats.org/officeDocument/2006/relationships" ref="Y55" r:id="rId83"/>
    <hyperlink xmlns:r="http://schemas.openxmlformats.org/officeDocument/2006/relationships" ref="Y56" r:id="rId84"/>
    <hyperlink xmlns:r="http://schemas.openxmlformats.org/officeDocument/2006/relationships" ref="Y57" r:id="rId85"/>
    <hyperlink xmlns:r="http://schemas.openxmlformats.org/officeDocument/2006/relationships" ref="Y58" r:id="rId86"/>
    <hyperlink xmlns:r="http://schemas.openxmlformats.org/officeDocument/2006/relationships" ref="Y59" r:id="rId87"/>
    <hyperlink xmlns:r="http://schemas.openxmlformats.org/officeDocument/2006/relationships" ref="Y60" r:id="rId88"/>
    <hyperlink xmlns:r="http://schemas.openxmlformats.org/officeDocument/2006/relationships" ref="Y61" r:id="rId89"/>
    <hyperlink xmlns:r="http://schemas.openxmlformats.org/officeDocument/2006/relationships" ref="Y62" r:id="rId90"/>
    <hyperlink xmlns:r="http://schemas.openxmlformats.org/officeDocument/2006/relationships" ref="Y63" r:id="rId91"/>
    <hyperlink xmlns:r="http://schemas.openxmlformats.org/officeDocument/2006/relationships" ref="Y64" r:id="rId92"/>
    <hyperlink xmlns:r="http://schemas.openxmlformats.org/officeDocument/2006/relationships" ref="Y65" r:id="rId93"/>
    <hyperlink xmlns:r="http://schemas.openxmlformats.org/officeDocument/2006/relationships" ref="Y66" r:id="rId94"/>
    <hyperlink xmlns:r="http://schemas.openxmlformats.org/officeDocument/2006/relationships" ref="Y67" r:id="rId95"/>
    <hyperlink xmlns:r="http://schemas.openxmlformats.org/officeDocument/2006/relationships" ref="Y68" r:id="rId96"/>
    <hyperlink xmlns:r="http://schemas.openxmlformats.org/officeDocument/2006/relationships" ref="Y69" r:id="rId97"/>
    <hyperlink xmlns:r="http://schemas.openxmlformats.org/officeDocument/2006/relationships" ref="Y70" r:id="rId98"/>
    <hyperlink xmlns:r="http://schemas.openxmlformats.org/officeDocument/2006/relationships" ref="Y71" r:id="rId99"/>
    <hyperlink xmlns:r="http://schemas.openxmlformats.org/officeDocument/2006/relationships" ref="Y72" r:id="rId100"/>
    <hyperlink xmlns:r="http://schemas.openxmlformats.org/officeDocument/2006/relationships" ref="Y73" r:id="rId101"/>
    <hyperlink xmlns:r="http://schemas.openxmlformats.org/officeDocument/2006/relationships" ref="Y74" r:id="rId102"/>
    <hyperlink xmlns:r="http://schemas.openxmlformats.org/officeDocument/2006/relationships" ref="Y75" r:id="rId103"/>
    <hyperlink xmlns:r="http://schemas.openxmlformats.org/officeDocument/2006/relationships" ref="Y76" r:id="rId104"/>
    <hyperlink xmlns:r="http://schemas.openxmlformats.org/officeDocument/2006/relationships" ref="Z84" r:id="rId105"/>
    <hyperlink xmlns:r="http://schemas.openxmlformats.org/officeDocument/2006/relationships" ref="Z85" r:id="rId106"/>
    <hyperlink xmlns:r="http://schemas.openxmlformats.org/officeDocument/2006/relationships" ref="Z86" r:id="rId107"/>
    <hyperlink xmlns:r="http://schemas.openxmlformats.org/officeDocument/2006/relationships" ref="Z87" r:id="rId108"/>
    <hyperlink xmlns:r="http://schemas.openxmlformats.org/officeDocument/2006/relationships" ref="Z88" r:id="rId109"/>
    <hyperlink xmlns:r="http://schemas.openxmlformats.org/officeDocument/2006/relationships" ref="Z89" r:id="rId110"/>
    <hyperlink xmlns:r="http://schemas.openxmlformats.org/officeDocument/2006/relationships" ref="Z90" r:id="rId111"/>
    <hyperlink xmlns:r="http://schemas.openxmlformats.org/officeDocument/2006/relationships" ref="Z91" r:id="rId112"/>
    <hyperlink xmlns:r="http://schemas.openxmlformats.org/officeDocument/2006/relationships" ref="Z92" r:id="rId113"/>
    <hyperlink xmlns:r="http://schemas.openxmlformats.org/officeDocument/2006/relationships" ref="Z93" r:id="rId114"/>
    <hyperlink xmlns:r="http://schemas.openxmlformats.org/officeDocument/2006/relationships" ref="Z94" r:id="rId115"/>
    <hyperlink xmlns:r="http://schemas.openxmlformats.org/officeDocument/2006/relationships" ref="Z95" r:id="rId116"/>
    <hyperlink xmlns:r="http://schemas.openxmlformats.org/officeDocument/2006/relationships" ref="Z96" r:id="rId117"/>
    <hyperlink xmlns:r="http://schemas.openxmlformats.org/officeDocument/2006/relationships" ref="Z97" r:id="rId118"/>
    <hyperlink xmlns:r="http://schemas.openxmlformats.org/officeDocument/2006/relationships" ref="Z98" r:id="rId119"/>
    <hyperlink xmlns:r="http://schemas.openxmlformats.org/officeDocument/2006/relationships" ref="Z99" r:id="rId120"/>
    <hyperlink xmlns:r="http://schemas.openxmlformats.org/officeDocument/2006/relationships" ref="Z100" r:id="rId121"/>
    <hyperlink xmlns:r="http://schemas.openxmlformats.org/officeDocument/2006/relationships" ref="Z101" r:id="rId122"/>
    <hyperlink xmlns:r="http://schemas.openxmlformats.org/officeDocument/2006/relationships" ref="Z102" r:id="rId123"/>
    <hyperlink xmlns:r="http://schemas.openxmlformats.org/officeDocument/2006/relationships" ref="Z103" r:id="rId124"/>
    <hyperlink xmlns:r="http://schemas.openxmlformats.org/officeDocument/2006/relationships" ref="Z104" r:id="rId125"/>
    <hyperlink xmlns:r="http://schemas.openxmlformats.org/officeDocument/2006/relationships" ref="Z105" r:id="rId126"/>
    <hyperlink xmlns:r="http://schemas.openxmlformats.org/officeDocument/2006/relationships" ref="Z106" r:id="rId127"/>
    <hyperlink xmlns:r="http://schemas.openxmlformats.org/officeDocument/2006/relationships" ref="Z107" r:id="rId128"/>
    <hyperlink xmlns:r="http://schemas.openxmlformats.org/officeDocument/2006/relationships" ref="Z108" r:id="rId129"/>
    <hyperlink xmlns:r="http://schemas.openxmlformats.org/officeDocument/2006/relationships" ref="Z109" r:id="rId130"/>
    <hyperlink xmlns:r="http://schemas.openxmlformats.org/officeDocument/2006/relationships" ref="Z110" r:id="rId131"/>
    <hyperlink xmlns:r="http://schemas.openxmlformats.org/officeDocument/2006/relationships" ref="Z111" r:id="rId132"/>
    <hyperlink xmlns:r="http://schemas.openxmlformats.org/officeDocument/2006/relationships" ref="Z112" r:id="rId133"/>
    <hyperlink xmlns:r="http://schemas.openxmlformats.org/officeDocument/2006/relationships" ref="Z113" r:id="rId134"/>
    <hyperlink xmlns:r="http://schemas.openxmlformats.org/officeDocument/2006/relationships" ref="Z114" r:id="rId135"/>
    <hyperlink xmlns:r="http://schemas.openxmlformats.org/officeDocument/2006/relationships" ref="Y115" r:id="rId136"/>
    <hyperlink xmlns:r="http://schemas.openxmlformats.org/officeDocument/2006/relationships" ref="Y116" r:id="rId137"/>
    <hyperlink xmlns:r="http://schemas.openxmlformats.org/officeDocument/2006/relationships" ref="Y117" r:id="rId138"/>
    <hyperlink xmlns:r="http://schemas.openxmlformats.org/officeDocument/2006/relationships" ref="Y118" r:id="rId139"/>
    <hyperlink xmlns:r="http://schemas.openxmlformats.org/officeDocument/2006/relationships" ref="Y119" r:id="rId140"/>
    <hyperlink xmlns:r="http://schemas.openxmlformats.org/officeDocument/2006/relationships" ref="Y120" r:id="rId141"/>
    <hyperlink xmlns:r="http://schemas.openxmlformats.org/officeDocument/2006/relationships" ref="Y121" r:id="rId142"/>
    <hyperlink xmlns:r="http://schemas.openxmlformats.org/officeDocument/2006/relationships" ref="Y122" r:id="rId143"/>
    <hyperlink xmlns:r="http://schemas.openxmlformats.org/officeDocument/2006/relationships" ref="Y123" r:id="rId1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52" customWidth="1" min="4" max="4"/>
    <col width="34" customWidth="1" min="5" max="5"/>
    <col width="70" customWidth="1" min="6" max="6"/>
  </cols>
  <sheetData>
    <row r="1">
      <c r="A1" s="15" t="inlineStr">
        <is>
          <t>County</t>
        </is>
      </c>
      <c r="B1" s="15" t="inlineStr">
        <is>
          <t>Sale day rule</t>
        </is>
      </c>
      <c r="C1" s="15" t="inlineStr">
        <is>
          <t>Time</t>
        </is>
      </c>
      <c r="D1" s="15" t="inlineStr">
        <is>
          <t>Location</t>
        </is>
      </c>
      <c r="E1" s="15" t="inlineStr">
        <is>
          <t>Next dates</t>
        </is>
      </c>
      <c r="F1" s="15" t="inlineStr">
        <is>
          <t>Notes</t>
        </is>
      </c>
    </row>
    <row r="2">
      <c r="A2" s="9" t="inlineStr">
        <is>
          <t>Greenville</t>
        </is>
      </c>
      <c r="B2" s="9" t="inlineStr">
        <is>
          <t>1st Monday (Tue if holiday)</t>
        </is>
      </c>
      <c r="C2" s="9" t="inlineStr">
        <is>
          <t>11:00 AM</t>
        </is>
      </c>
      <c r="D2" s="9" t="inlineStr">
        <is>
          <t>Greenville County Courthouse, 305 E North St, judicial wing</t>
        </is>
      </c>
      <c r="E2" s="9" t="inlineStr">
        <is>
          <t>Sep 8 · Oct 5 · Nov 2 · Dec 7 2026</t>
        </is>
      </c>
      <c r="F2" s="9" t="inlineStr">
        <is>
          <t>5% deposit; deficiency re-bid day 30 (Oct 8 for the Sept sale)</t>
        </is>
      </c>
    </row>
    <row r="3">
      <c r="A3" s="9" t="inlineStr">
        <is>
          <t>Pickens</t>
        </is>
      </c>
      <c r="B3" s="9" t="inlineStr">
        <is>
          <t>1st Monday (Tue if holiday)</t>
        </is>
      </c>
      <c r="C3" s="9" t="inlineStr">
        <is>
          <t>11:00 AM</t>
        </is>
      </c>
      <c r="D3" s="9" t="inlineStr">
        <is>
          <t>Pickens County Courthouse, 2nd floor, Courtroom #1</t>
        </is>
      </c>
      <c r="E3" s="9" t="inlineStr">
        <is>
          <t>Sep 8 · Oct 5 · Nov 2 · Dec 7 2026</t>
        </is>
      </c>
      <c r="F3" s="9" t="inlineStr">
        <is>
          <t>Deficiency re-bid Oct 8 2026 11:00 AM, Courtroom #4 or #2</t>
        </is>
      </c>
    </row>
    <row r="4">
      <c r="A4" s="9" t="inlineStr">
        <is>
          <t>Spartanburg</t>
        </is>
      </c>
      <c r="B4" s="9" t="inlineStr">
        <is>
          <t>1st Monday (Tue if holiday)</t>
        </is>
      </c>
      <c r="C4" s="9" t="inlineStr">
        <is>
          <t>11:00 AM</t>
        </is>
      </c>
      <c r="D4" s="9" t="inlineStr">
        <is>
          <t>180 Magnolia St, 4th floor, Courtroom 4-A</t>
        </is>
      </c>
      <c r="E4" s="9" t="inlineStr">
        <is>
          <t>Sep 8 · Oct 5 · Nov 2 · Dec 7 2026</t>
        </is>
      </c>
      <c r="F4" s="9" t="inlineStr">
        <is>
          <t>Deficiency sales ~30 days later (county posts a Deficiency Sale doc)</t>
        </is>
      </c>
    </row>
    <row r="5">
      <c r="A5" s="9" t="inlineStr">
        <is>
          <t>Oconee</t>
        </is>
      </c>
      <c r="B5" s="9" t="inlineStr">
        <is>
          <t>1st Monday (Tue if holiday)</t>
        </is>
      </c>
      <c r="C5" s="9" t="inlineStr">
        <is>
          <t>11:00 AM</t>
        </is>
      </c>
      <c r="D5" s="9" t="inlineStr">
        <is>
          <t>Oconee County Courthouse, Walhalla</t>
        </is>
      </c>
      <c r="E5" s="9" t="inlineStr">
        <is>
          <t>Sep 8 · Oct 5 · Nov 2 · Dec 7 2026</t>
        </is>
      </c>
      <c r="F5" s="9" t="inlineStr">
        <is>
          <t>List on the SC Public Index roster (Master In Equity)</t>
        </is>
      </c>
    </row>
    <row r="6">
      <c r="A6" s="9" t="inlineStr">
        <is>
          <t>Horry</t>
        </is>
      </c>
      <c r="B6" s="9" t="inlineStr">
        <is>
          <t>1st Monday (Tue if holiday)</t>
        </is>
      </c>
      <c r="C6" s="9" t="inlineStr">
        <is>
          <t>11:00 AM</t>
        </is>
      </c>
      <c r="D6" s="9" t="inlineStr">
        <is>
          <t>1301 2nd Ave, 3rd floor, Conway</t>
        </is>
      </c>
      <c r="E6" s="9" t="inlineStr">
        <is>
          <t>Sep 8 · Oct 5 · Nov 2 · Dec 7 2026</t>
        </is>
      </c>
      <c r="F6" s="9" t="inlineStr">
        <is>
          <t>New bidders register 7 days ahead; first-time winners bring $2,500 certified</t>
        </is>
      </c>
    </row>
    <row r="7">
      <c r="A7" s="9" t="inlineStr">
        <is>
          <t>Charleston</t>
        </is>
      </c>
      <c r="B7" s="9" t="inlineStr">
        <is>
          <t>1st TUESDAY</t>
        </is>
      </c>
      <c r="C7" s="9" t="inlineStr">
        <is>
          <t>11:00 AM</t>
        </is>
      </c>
      <c r="D7" s="9" t="inlineStr">
        <is>
          <t>County Council Chambers, PSB, 4045 Bridge View Dr, N. Charleston</t>
        </is>
      </c>
      <c r="E7" s="9" t="inlineStr">
        <is>
          <t>Oct 6 · Nov 3 · Dec 1 2026</t>
        </is>
      </c>
      <c r="F7" s="9" t="inlineStr">
        <is>
          <t>REGISTER by noon the Monday before (form + photo ID); re-open sales Thursdays at 100 Broad St, Courtroom 2A</t>
        </is>
      </c>
    </row>
    <row r="8">
      <c r="A8" s="9" t="inlineStr">
        <is>
          <t>Georgetown</t>
        </is>
      </c>
      <c r="B8" s="9" t="inlineStr">
        <is>
          <t>1st Monday</t>
        </is>
      </c>
      <c r="C8" s="9" t="inlineStr">
        <is>
          <t>12:00 NOON</t>
        </is>
      </c>
      <c r="D8" s="9" t="inlineStr">
        <is>
          <t>401 Cleland St, 2nd floor MIE courtroom</t>
        </is>
      </c>
      <c r="E8" s="9" t="inlineStr">
        <is>
          <t>Sep 8 (confirm) · Oct 5 · Nov 2 · Dec 7 2026</t>
        </is>
      </c>
      <c r="F8" s="9" t="inlineStr">
        <is>
          <t>Holiday rule is "next day or next Monday" – confirm September (843-546-3103)</t>
        </is>
      </c>
    </row>
    <row r="9">
      <c r="A9" s="9" t="inlineStr">
        <is>
          <t>Beaufort</t>
        </is>
      </c>
      <c r="B9" s="9" t="inlineStr">
        <is>
          <t>1st Monday (next business day if holiday)</t>
        </is>
      </c>
      <c r="C9" s="9" t="inlineStr">
        <is>
          <t>11:00 AM</t>
        </is>
      </c>
      <c r="D9" s="9" t="inlineStr">
        <is>
          <t>102 Ribaut Rd, 2nd floor, Beaufort</t>
        </is>
      </c>
      <c r="E9" s="9" t="inlineStr">
        <is>
          <t>Sep 8 · Oct 5 · Nov 2 · Dec 7 2026</t>
        </is>
      </c>
      <c r="F9" s="9" t="inlineStr">
        <is>
          <t>List: notebook outside MIE office + Public Index roster</t>
        </is>
      </c>
    </row>
    <row r="10">
      <c r="A10" s="9" t="inlineStr">
        <is>
          <t>Berkeley</t>
        </is>
      </c>
      <c r="B10" s="9" t="inlineStr">
        <is>
          <t>1st WEDNESDAY</t>
        </is>
      </c>
      <c r="C10" s="9" t="inlineStr">
        <is>
          <t>11:00 AM</t>
        </is>
      </c>
      <c r="D10" s="9" t="inlineStr">
        <is>
          <t>Courtroom B, 300-B California Ave, Moncks Corner</t>
        </is>
      </c>
      <c r="E10" s="9" t="inlineStr">
        <is>
          <t>Oct 7 · Nov 4 · Dec 2 2026</t>
        </is>
      </c>
      <c r="F10" s="9" t="inlineStr">
        <is>
          <t>MIE (843) 719-4432</t>
        </is>
      </c>
    </row>
    <row r="11">
      <c r="A11" s="9" t="inlineStr">
        <is>
          <t>Dorchester</t>
        </is>
      </c>
      <c r="B11" s="9" t="inlineStr">
        <is>
          <t>UNVERIFIED – assumed 1st Monday</t>
        </is>
      </c>
      <c r="C11" s="9" t="inlineStr">
        <is>
          <t>11:00 AM (assumed)</t>
        </is>
      </c>
      <c r="D11" s="9" t="inlineStr">
        <is>
          <t>St. George courthouse</t>
        </is>
      </c>
      <c r="E11" s="9" t="inlineStr">
        <is>
          <t>Oct 5 · Nov 2 · Dec 7 2026 (confirm)</t>
        </is>
      </c>
      <c r="F11" s="9" t="inlineStr">
        <is>
          <t>Confirm with Clerk (843) 563-0120</t>
        </is>
      </c>
    </row>
    <row r="12">
      <c r="A12" s="9" t="inlineStr">
        <is>
          <t>Colleton</t>
        </is>
      </c>
      <c r="B12" s="9" t="inlineStr">
        <is>
          <t>UNVERIFIED – assumed 1st Monday</t>
        </is>
      </c>
      <c r="C12" s="9" t="inlineStr">
        <is>
          <t>11:00 AM (assumed)</t>
        </is>
      </c>
      <c r="D12" s="9" t="inlineStr">
        <is>
          <t>Walterboro courthouse</t>
        </is>
      </c>
      <c r="E12" s="9" t="inlineStr">
        <is>
          <t>Oct 5 · Nov 2 · Dec 7 2026 (confirm)</t>
        </is>
      </c>
      <c r="F12" s="9" t="inlineStr">
        <is>
          <t>Confirm with Clerk (843) 549-5791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How to read this workbook</t>
        </is>
      </c>
    </row>
    <row r="2">
      <c r="A2" s="9" t="inlineStr">
        <is>
          <t>Judgment $ = the total the court entered (Order of Foreclosure / Form 4). Horry and Charleston publish it on their sale lists; other counties need the court-index run from Brian's PC (tools/foreclosures in the hello-world repo).</t>
        </is>
      </c>
    </row>
    <row r="3">
      <c r="A3" s="9" t="inlineStr">
        <is>
          <t>Est. owed sale day = Judgment $ + per diem × days between the as-of date and the sale. This is the plaintiff's credit-bid ceiling, not the opening bid.</t>
        </is>
      </c>
    </row>
    <row r="4">
      <c r="A4" s="9" t="inlineStr">
        <is>
          <t>Deficiency demanded = bidding stays open 30 days; anyone can top the day-of bid at the re-open. Waived = sale is final that day. "conflicting" = the notice says both; call plaintiff's counsel.</t>
        </is>
      </c>
    </row>
    <row r="5">
      <c r="A5" s="9" t="inlineStr">
        <is>
          <t>Debt ÷ FMV under ~70% = real equity, expect competition; over 100% = plaintiff likely takes it back.</t>
        </is>
      </c>
    </row>
    <row r="6">
      <c r="A6" s="9" t="inlineStr">
        <is>
          <t>County FMV / owner / acreage come from the county property card (Greenville live; qPublic counties need the PC run).</t>
        </is>
      </c>
    </row>
    <row r="7">
      <c r="A7" s="9" t="inlineStr">
        <is>
          <t>Source of each row: Greenville = MIE sale list PDF (transcribed); Pickens = county roster PDF; Spartanburg = Spartan Weekly notices; Horry = county Principal Sales page; Georgetown = county DocumentCenter list; Charleston = Master's running list.</t>
        </is>
      </c>
    </row>
    <row r="8">
      <c r="A8" s="9" t="inlineStr">
        <is>
          <t>Generated 2026-09-08 by tools/foreclosures/scripts/build-xlsx.py.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2026-09-08T12:58:45Z</dcterms:created>
  <dcterms:modified xmlns:dcterms="http://purl.org/dc/terms/" xmlns:xsi="http://www.w3.org/2001/XMLSchema-instance" xsi:type="dcterms:W3CDTF">2026-09-08T12:58:45Z</dcterms:modified>
</cp:coreProperties>
</file>